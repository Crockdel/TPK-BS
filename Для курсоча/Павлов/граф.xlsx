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П-40\Мат моделир\"/>
    </mc:Choice>
  </mc:AlternateContent>
  <xr:revisionPtr revIDLastSave="0" documentId="13_ncr:1_{C8EAB3DC-9BB5-4D34-8E36-3D1DFDAA1324}" xr6:coauthVersionLast="47" xr6:coauthVersionMax="47" xr10:uidLastSave="{00000000-0000-0000-0000-000000000000}"/>
  <bookViews>
    <workbookView xWindow="0" yWindow="0" windowWidth="14400" windowHeight="15600" firstSheet="1" activeTab="2" xr2:uid="{00000000-000D-0000-FFFF-FFFF00000000}"/>
  </bookViews>
  <sheets>
    <sheet name="Сетевой график" sheetId="1" r:id="rId1"/>
    <sheet name="Поиск решения" sheetId="2" r:id="rId2"/>
    <sheet name="Алгоритм Ф-Ф" sheetId="4" r:id="rId3"/>
    <sheet name="Построение сетевого графика" sheetId="3" r:id="rId4"/>
    <sheet name="Поиск решения МП" sheetId="5" r:id="rId5"/>
  </sheets>
  <definedNames>
    <definedName name="solver_adj" localSheetId="1" hidden="1">'Поиск решения'!$D$2:$D$11</definedName>
    <definedName name="solver_adj" localSheetId="4" hidden="1">'Поиск решения МП'!$D$2:$D$11</definedName>
    <definedName name="solver_cvg" localSheetId="1" hidden="1">0.0001</definedName>
    <definedName name="solver_cvg" localSheetId="4" hidden="1">0.0001</definedName>
    <definedName name="solver_drv" localSheetId="1" hidden="1">2</definedName>
    <definedName name="solver_drv" localSheetId="4" hidden="1">2</definedName>
    <definedName name="solver_eng" localSheetId="1" hidden="1">1</definedName>
    <definedName name="solver_eng" localSheetId="4" hidden="1">1</definedName>
    <definedName name="solver_est" localSheetId="1" hidden="1">1</definedName>
    <definedName name="solver_est" localSheetId="4" hidden="1">1</definedName>
    <definedName name="solver_itr" localSheetId="1" hidden="1">2147483647</definedName>
    <definedName name="solver_itr" localSheetId="4" hidden="1">2147483647</definedName>
    <definedName name="solver_lhs1" localSheetId="1" hidden="1">'Поиск решения'!$D$2:$D$11</definedName>
    <definedName name="solver_lhs1" localSheetId="4" hidden="1">'Поиск решения МП'!$D$2:$D$11</definedName>
    <definedName name="solver_lhs2" localSheetId="1" hidden="1">'Поиск решения'!$D$2:$D$11</definedName>
    <definedName name="solver_lhs2" localSheetId="4" hidden="1">'Поиск решения МП'!$D$2:$D$11</definedName>
    <definedName name="solver_lhs3" localSheetId="1" hidden="1">'Поиск решения'!$E$2</definedName>
    <definedName name="solver_lhs3" localSheetId="4" hidden="1">'Поиск решения МП'!$E$2:$E$8</definedName>
    <definedName name="solver_lhs4" localSheetId="1" hidden="1">'Поиск решения'!$E$3:$E$7</definedName>
    <definedName name="solver_lhs5" localSheetId="1" hidden="1">'Поиск решения'!$E$8</definedName>
    <definedName name="solver_mip" localSheetId="1" hidden="1">2147483647</definedName>
    <definedName name="solver_mip" localSheetId="4" hidden="1">2147483647</definedName>
    <definedName name="solver_mni" localSheetId="1" hidden="1">30</definedName>
    <definedName name="solver_mni" localSheetId="4" hidden="1">30</definedName>
    <definedName name="solver_mrt" localSheetId="1" hidden="1">0.075</definedName>
    <definedName name="solver_mrt" localSheetId="4" hidden="1">0.075</definedName>
    <definedName name="solver_msl" localSheetId="1" hidden="1">2</definedName>
    <definedName name="solver_msl" localSheetId="4" hidden="1">2</definedName>
    <definedName name="solver_neg" localSheetId="1" hidden="1">1</definedName>
    <definedName name="solver_neg" localSheetId="4" hidden="1">1</definedName>
    <definedName name="solver_nod" localSheetId="1" hidden="1">2147483647</definedName>
    <definedName name="solver_nod" localSheetId="4" hidden="1">2147483647</definedName>
    <definedName name="solver_num" localSheetId="1" hidden="1">5</definedName>
    <definedName name="solver_num" localSheetId="4" hidden="1">3</definedName>
    <definedName name="solver_nwt" localSheetId="1" hidden="1">1</definedName>
    <definedName name="solver_nwt" localSheetId="4" hidden="1">1</definedName>
    <definedName name="solver_opt" localSheetId="1" hidden="1">'Поиск решения'!$F$2</definedName>
    <definedName name="solver_opt" localSheetId="4" hidden="1">'Поиск решения МП'!$F$2</definedName>
    <definedName name="solver_pre" localSheetId="1" hidden="1">0.000001</definedName>
    <definedName name="solver_pre" localSheetId="4" hidden="1">0.000001</definedName>
    <definedName name="solver_rbv" localSheetId="1" hidden="1">2</definedName>
    <definedName name="solver_rbv" localSheetId="4" hidden="1">2</definedName>
    <definedName name="solver_rel1" localSheetId="1" hidden="1">5</definedName>
    <definedName name="solver_rel1" localSheetId="4" hidden="1">1</definedName>
    <definedName name="solver_rel2" localSheetId="1" hidden="1">4</definedName>
    <definedName name="solver_rel2" localSheetId="4" hidden="1">4</definedName>
    <definedName name="solver_rel3" localSheetId="1" hidden="1">2</definedName>
    <definedName name="solver_rel3" localSheetId="4" hidden="1">2</definedName>
    <definedName name="solver_rel4" localSheetId="1" hidden="1">2</definedName>
    <definedName name="solver_rel5" localSheetId="1" hidden="1">2</definedName>
    <definedName name="solver_rhs1" localSheetId="1" hidden="1">"бинарное"</definedName>
    <definedName name="solver_rhs1" localSheetId="4" hidden="1">'Поиск решения МП'!$C$2:$C$11</definedName>
    <definedName name="solver_rhs2" localSheetId="1" hidden="1">"целое"</definedName>
    <definedName name="solver_rhs2" localSheetId="4" hidden="1">"целое"</definedName>
    <definedName name="solver_rhs3" localSheetId="1" hidden="1">1</definedName>
    <definedName name="solver_rhs3" localSheetId="4" hidden="1">0</definedName>
    <definedName name="solver_rhs4" localSheetId="1" hidden="1">0</definedName>
    <definedName name="solver_rhs5" localSheetId="1" hidden="1">1</definedName>
    <definedName name="solver_rlx" localSheetId="1" hidden="1">2</definedName>
    <definedName name="solver_rlx" localSheetId="4" hidden="1">2</definedName>
    <definedName name="solver_rsd" localSheetId="1" hidden="1">0</definedName>
    <definedName name="solver_rsd" localSheetId="4" hidden="1">0</definedName>
    <definedName name="solver_scl" localSheetId="1" hidden="1">2</definedName>
    <definedName name="solver_scl" localSheetId="4" hidden="1">2</definedName>
    <definedName name="solver_sho" localSheetId="1" hidden="1">2</definedName>
    <definedName name="solver_sho" localSheetId="4" hidden="1">2</definedName>
    <definedName name="solver_ssz" localSheetId="1" hidden="1">100</definedName>
    <definedName name="solver_ssz" localSheetId="4" hidden="1">100</definedName>
    <definedName name="solver_tim" localSheetId="1" hidden="1">2147483647</definedName>
    <definedName name="solver_tim" localSheetId="4" hidden="1">2147483647</definedName>
    <definedName name="solver_tol" localSheetId="1" hidden="1">0.01</definedName>
    <definedName name="solver_tol" localSheetId="4" hidden="1">0.01</definedName>
    <definedName name="solver_typ" localSheetId="1" hidden="1">2</definedName>
    <definedName name="solver_typ" localSheetId="4" hidden="1">1</definedName>
    <definedName name="solver_val" localSheetId="1" hidden="1">0</definedName>
    <definedName name="solver_val" localSheetId="4" hidden="1">0</definedName>
    <definedName name="solver_ver" localSheetId="1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F2" i="5"/>
  <c r="E7" i="5"/>
  <c r="E6" i="5"/>
  <c r="E5" i="5"/>
  <c r="E4" i="5"/>
  <c r="E3" i="5"/>
  <c r="D17" i="4"/>
  <c r="E6" i="2"/>
  <c r="E4" i="2"/>
  <c r="E3" i="2"/>
  <c r="F2" i="2"/>
  <c r="E5" i="2"/>
  <c r="E8" i="2"/>
  <c r="E7" i="2"/>
  <c r="E2" i="2"/>
  <c r="F9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<sst xmlns="http://schemas.openxmlformats.org/spreadsheetml/2006/main" count="39" uniqueCount="21">
  <si>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</si>
  <si>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j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</si>
  <si>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</si>
  <si>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Маршрут</t>
  </si>
  <si>
    <t>Кратчайшее расстояние</t>
  </si>
  <si>
    <t>1-2-3-6-7</t>
  </si>
  <si>
    <t>1-2-3-4-7</t>
  </si>
  <si>
    <t>1-2-3-4-6-7</t>
  </si>
  <si>
    <t>1-4-6-7</t>
  </si>
  <si>
    <t>min</t>
  </si>
  <si>
    <t>1-5-7</t>
  </si>
  <si>
    <t>1-4-7</t>
  </si>
  <si>
    <t>Переменные</t>
  </si>
  <si>
    <t>Ограничения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</si>
  <si>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min</t>
    </r>
  </si>
  <si>
    <t>Поток</t>
  </si>
  <si>
    <t>Пропускная способность</t>
  </si>
  <si>
    <t>-</t>
  </si>
  <si>
    <t>Разрез A=</t>
  </si>
  <si>
    <t>(3,4,5,6,7)</t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</si>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</sst>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8</xdr:row>
      <xdr:rowOff>85725</xdr:rowOff>
    </xdr:from>
    <xdr:to>
      <xdr:col>11</xdr:col>
      <xdr:colOff>314325</xdr:colOff>
      <xdr:row>10</xdr:row>
      <xdr:rowOff>152400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99C6281E-2503-0E37-A6CC-6D6694717B05}"/>
            </a:ext>
          </a:extLst>
        </xdr:cNvPr>
        <xdr:cNvSpPr/>
      </xdr:nvSpPr>
      <xdr:spPr>
        <a:xfrm>
          <a:off x="6515100" y="16097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12</xdr:col>
      <xdr:colOff>161925</xdr:colOff>
      <xdr:row>4</xdr:row>
      <xdr:rowOff>47625</xdr:rowOff>
    </xdr:from>
    <xdr:to>
      <xdr:col>13</xdr:col>
      <xdr:colOff>57150</xdr:colOff>
      <xdr:row>6</xdr:row>
      <xdr:rowOff>114300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7B2F1C04-A5A6-545E-782C-0008E853C04C}"/>
            </a:ext>
          </a:extLst>
        </xdr:cNvPr>
        <xdr:cNvSpPr/>
      </xdr:nvSpPr>
      <xdr:spPr>
        <a:xfrm>
          <a:off x="7477125" y="8096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14</xdr:col>
      <xdr:colOff>295275</xdr:colOff>
      <xdr:row>3</xdr:row>
      <xdr:rowOff>66675</xdr:rowOff>
    </xdr:from>
    <xdr:to>
      <xdr:col>15</xdr:col>
      <xdr:colOff>190500</xdr:colOff>
      <xdr:row>5</xdr:row>
      <xdr:rowOff>133350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F774C16A-FC9F-47B1-048C-E4D4775565C6}"/>
            </a:ext>
          </a:extLst>
        </xdr:cNvPr>
        <xdr:cNvSpPr/>
      </xdr:nvSpPr>
      <xdr:spPr>
        <a:xfrm>
          <a:off x="8829675" y="63817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16</xdr:col>
      <xdr:colOff>304800</xdr:colOff>
      <xdr:row>5</xdr:row>
      <xdr:rowOff>9525</xdr:rowOff>
    </xdr:from>
    <xdr:to>
      <xdr:col>17</xdr:col>
      <xdr:colOff>200025</xdr:colOff>
      <xdr:row>7</xdr:row>
      <xdr:rowOff>76200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2A9691CE-112B-4B97-8790-5185B2D21B22}"/>
            </a:ext>
          </a:extLst>
        </xdr:cNvPr>
        <xdr:cNvSpPr/>
      </xdr:nvSpPr>
      <xdr:spPr>
        <a:xfrm>
          <a:off x="10058400" y="9620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18</xdr:col>
      <xdr:colOff>209550</xdr:colOff>
      <xdr:row>8</xdr:row>
      <xdr:rowOff>161925</xdr:rowOff>
    </xdr:from>
    <xdr:to>
      <xdr:col>19</xdr:col>
      <xdr:colOff>104775</xdr:colOff>
      <xdr:row>11</xdr:row>
      <xdr:rowOff>38100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69B90CAA-6867-B132-0ED2-707E3E4AD3D4}"/>
            </a:ext>
          </a:extLst>
        </xdr:cNvPr>
        <xdr:cNvSpPr/>
      </xdr:nvSpPr>
      <xdr:spPr>
        <a:xfrm>
          <a:off x="11182350" y="16859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15</xdr:col>
      <xdr:colOff>38100</xdr:colOff>
      <xdr:row>9</xdr:row>
      <xdr:rowOff>76200</xdr:rowOff>
    </xdr:from>
    <xdr:to>
      <xdr:col>15</xdr:col>
      <xdr:colOff>542925</xdr:colOff>
      <xdr:row>11</xdr:row>
      <xdr:rowOff>142875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2E27D43E-3210-8F76-797B-7DBFF9540566}"/>
            </a:ext>
          </a:extLst>
        </xdr:cNvPr>
        <xdr:cNvSpPr/>
      </xdr:nvSpPr>
      <xdr:spPr>
        <a:xfrm>
          <a:off x="9182100" y="179070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15</xdr:col>
      <xdr:colOff>371475</xdr:colOff>
      <xdr:row>15</xdr:row>
      <xdr:rowOff>19050</xdr:rowOff>
    </xdr:from>
    <xdr:to>
      <xdr:col>16</xdr:col>
      <xdr:colOff>266700</xdr:colOff>
      <xdr:row>17</xdr:row>
      <xdr:rowOff>85725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28B1FBA5-278B-7728-C251-FF1D5279556A}"/>
            </a:ext>
          </a:extLst>
        </xdr:cNvPr>
        <xdr:cNvSpPr/>
      </xdr:nvSpPr>
      <xdr:spPr>
        <a:xfrm>
          <a:off x="9515475" y="287655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11</xdr:col>
      <xdr:colOff>240395</xdr:colOff>
      <xdr:row>6</xdr:row>
      <xdr:rowOff>48740</xdr:rowOff>
    </xdr:from>
    <xdr:to>
      <xdr:col>12</xdr:col>
      <xdr:colOff>235855</xdr:colOff>
      <xdr:row>8</xdr:row>
      <xdr:rowOff>151285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5036A4A9-30D9-B735-BF01-A47FE48899DF}"/>
            </a:ext>
          </a:extLst>
        </xdr:cNvPr>
        <xdr:cNvCxnSpPr>
          <a:stCxn id="2" idx="7"/>
          <a:endCxn id="3" idx="3"/>
        </xdr:cNvCxnSpPr>
      </xdr:nvCxnSpPr>
      <xdr:spPr>
        <a:xfrm flipV="1">
          <a:off x="6945995" y="1191740"/>
          <a:ext cx="605060" cy="483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4</xdr:row>
      <xdr:rowOff>100013</xdr:rowOff>
    </xdr:from>
    <xdr:to>
      <xdr:col>14</xdr:col>
      <xdr:colOff>295275</xdr:colOff>
      <xdr:row>5</xdr:row>
      <xdr:rowOff>80963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78B9C490-7EFE-88B1-7004-E6D3F5EE2F30}"/>
            </a:ext>
          </a:extLst>
        </xdr:cNvPr>
        <xdr:cNvCxnSpPr>
          <a:stCxn id="3" idx="6"/>
          <a:endCxn id="4" idx="2"/>
        </xdr:cNvCxnSpPr>
      </xdr:nvCxnSpPr>
      <xdr:spPr>
        <a:xfrm flipV="1">
          <a:off x="7981950" y="862013"/>
          <a:ext cx="847725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4</xdr:row>
      <xdr:rowOff>100013</xdr:rowOff>
    </xdr:from>
    <xdr:to>
      <xdr:col>16</xdr:col>
      <xdr:colOff>304800</xdr:colOff>
      <xdr:row>6</xdr:row>
      <xdr:rowOff>42863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FDD8B98B-3E27-55FD-0A57-9EF09C75EF73}"/>
            </a:ext>
          </a:extLst>
        </xdr:cNvPr>
        <xdr:cNvCxnSpPr>
          <a:stCxn id="4" idx="6"/>
          <a:endCxn id="5" idx="2"/>
        </xdr:cNvCxnSpPr>
      </xdr:nvCxnSpPr>
      <xdr:spPr>
        <a:xfrm>
          <a:off x="9334500" y="862013"/>
          <a:ext cx="72390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547688</xdr:colOff>
      <xdr:row>5</xdr:row>
      <xdr:rowOff>133350</xdr:rowOff>
    </xdr:from>
    <xdr:to>
      <xdr:col>15</xdr:col>
      <xdr:colOff>290513</xdr:colOff>
      <xdr:row>9</xdr:row>
      <xdr:rowOff>76200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A9EFE00B-AEFD-C9E0-E338-DABE37E3F553}"/>
            </a:ext>
          </a:extLst>
        </xdr:cNvPr>
        <xdr:cNvCxnSpPr>
          <a:stCxn id="4" idx="4"/>
          <a:endCxn id="7" idx="0"/>
        </xdr:cNvCxnSpPr>
      </xdr:nvCxnSpPr>
      <xdr:spPr>
        <a:xfrm>
          <a:off x="9082088" y="1085850"/>
          <a:ext cx="352425" cy="704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542925</xdr:colOff>
      <xdr:row>10</xdr:row>
      <xdr:rowOff>4763</xdr:rowOff>
    </xdr:from>
    <xdr:to>
      <xdr:col>18</xdr:col>
      <xdr:colOff>209550</xdr:colOff>
      <xdr:row>10</xdr:row>
      <xdr:rowOff>109538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53631B25-2FAD-9DFB-7024-F04E61BB3CFF}"/>
            </a:ext>
          </a:extLst>
        </xdr:cNvPr>
        <xdr:cNvCxnSpPr>
          <a:stCxn id="7" idx="6"/>
          <a:endCxn id="6" idx="2"/>
        </xdr:cNvCxnSpPr>
      </xdr:nvCxnSpPr>
      <xdr:spPr>
        <a:xfrm flipV="1">
          <a:off x="9686925" y="1909763"/>
          <a:ext cx="149542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126095</xdr:colOff>
      <xdr:row>7</xdr:row>
      <xdr:rowOff>10640</xdr:rowOff>
    </xdr:from>
    <xdr:to>
      <xdr:col>18</xdr:col>
      <xdr:colOff>283480</xdr:colOff>
      <xdr:row>9</xdr:row>
      <xdr:rowOff>36985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D668F3AB-8DB9-AE76-9B97-B2D69C7DE042}"/>
            </a:ext>
          </a:extLst>
        </xdr:cNvPr>
        <xdr:cNvCxnSpPr>
          <a:stCxn id="5" idx="5"/>
          <a:endCxn id="6" idx="1"/>
        </xdr:cNvCxnSpPr>
      </xdr:nvCxnSpPr>
      <xdr:spPr>
        <a:xfrm>
          <a:off x="10489295" y="1344140"/>
          <a:ext cx="766985" cy="4073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240395</xdr:colOff>
      <xdr:row>10</xdr:row>
      <xdr:rowOff>86840</xdr:rowOff>
    </xdr:from>
    <xdr:to>
      <xdr:col>15</xdr:col>
      <xdr:colOff>371475</xdr:colOff>
      <xdr:row>16</xdr:row>
      <xdr:rowOff>52388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84AAA45F-2D78-87BA-429B-357FE9253C3D}"/>
            </a:ext>
          </a:extLst>
        </xdr:cNvPr>
        <xdr:cNvCxnSpPr>
          <a:stCxn id="2" idx="5"/>
          <a:endCxn id="8" idx="2"/>
        </xdr:cNvCxnSpPr>
      </xdr:nvCxnSpPr>
      <xdr:spPr>
        <a:xfrm>
          <a:off x="6945995" y="1991840"/>
          <a:ext cx="2569480" cy="1108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10</xdr:row>
      <xdr:rowOff>163040</xdr:rowOff>
    </xdr:from>
    <xdr:to>
      <xdr:col>18</xdr:col>
      <xdr:colOff>283480</xdr:colOff>
      <xdr:row>16</xdr:row>
      <xdr:rowOff>52388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188BEAEF-E4AB-B517-7D21-6FB160800496}"/>
            </a:ext>
          </a:extLst>
        </xdr:cNvPr>
        <xdr:cNvCxnSpPr>
          <a:stCxn id="8" idx="6"/>
          <a:endCxn id="6" idx="3"/>
        </xdr:cNvCxnSpPr>
      </xdr:nvCxnSpPr>
      <xdr:spPr>
        <a:xfrm flipV="1">
          <a:off x="10020300" y="2068040"/>
          <a:ext cx="1235980" cy="1032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314325</xdr:colOff>
      <xdr:row>9</xdr:row>
      <xdr:rowOff>119063</xdr:rowOff>
    </xdr:from>
    <xdr:to>
      <xdr:col>15</xdr:col>
      <xdr:colOff>38100</xdr:colOff>
      <xdr:row>10</xdr:row>
      <xdr:rowOff>109538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492E027B-DF4B-7CE8-90D0-FFB007ED679F}"/>
            </a:ext>
          </a:extLst>
        </xdr:cNvPr>
        <xdr:cNvCxnSpPr>
          <a:stCxn id="2" idx="6"/>
          <a:endCxn id="7" idx="2"/>
        </xdr:cNvCxnSpPr>
      </xdr:nvCxnSpPr>
      <xdr:spPr>
        <a:xfrm>
          <a:off x="7019925" y="1833563"/>
          <a:ext cx="216217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468995</xdr:colOff>
      <xdr:row>7</xdr:row>
      <xdr:rowOff>10640</xdr:rowOff>
    </xdr:from>
    <xdr:to>
      <xdr:col>16</xdr:col>
      <xdr:colOff>378730</xdr:colOff>
      <xdr:row>9</xdr:row>
      <xdr:rowOff>141760</xdr:rowOff>
    </xdr:to>
    <xdr:cxnSp macro="">
      <xdr:nvCxnSpPr>
        <xdr:cNvPr id="35" name="Прямая со стрелкой 34">
          <a:extLst>
            <a:ext uri="{FF2B5EF4-FFF2-40B4-BE49-F238E27FC236}">
              <a16:creationId xmlns:a16="http://schemas.microsoft.com/office/drawing/2014/main" id="{9A3F1625-2223-0E33-F6A3-0BE28F0002FD}"/>
            </a:ext>
          </a:extLst>
        </xdr:cNvPr>
        <xdr:cNvCxnSpPr>
          <a:stCxn id="7" idx="7"/>
          <a:endCxn id="5" idx="3"/>
        </xdr:cNvCxnSpPr>
      </xdr:nvCxnSpPr>
      <xdr:spPr>
        <a:xfrm flipV="1">
          <a:off x="9612995" y="1344140"/>
          <a:ext cx="519335" cy="5121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314325</xdr:colOff>
      <xdr:row>6</xdr:row>
      <xdr:rowOff>114300</xdr:rowOff>
    </xdr:from>
    <xdr:ext cx="351410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9BD3979-F482-4123-8DBB-F2B624B0F390}"/>
            </a:ext>
          </a:extLst>
        </xdr:cNvPr>
        <xdr:cNvSpPr txBox="1"/>
      </xdr:nvSpPr>
      <xdr:spPr>
        <a:xfrm>
          <a:off x="7019925" y="12573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13</xdr:col>
      <xdr:colOff>314325</xdr:colOff>
      <xdr:row>3</xdr:row>
      <xdr:rowOff>161925</xdr:rowOff>
    </xdr:from>
    <xdr:ext cx="35141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8F9C29E-31A8-E75B-B594-8F83D24CDE52}"/>
            </a:ext>
          </a:extLst>
        </xdr:cNvPr>
        <xdr:cNvSpPr txBox="1"/>
      </xdr:nvSpPr>
      <xdr:spPr>
        <a:xfrm>
          <a:off x="8239125" y="7334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13</xdr:col>
      <xdr:colOff>285750</xdr:colOff>
      <xdr:row>8</xdr:row>
      <xdr:rowOff>180975</xdr:rowOff>
    </xdr:from>
    <xdr:ext cx="351410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B8AD433-F457-8774-FDAF-B19B019A85F6}"/>
            </a:ext>
          </a:extLst>
        </xdr:cNvPr>
        <xdr:cNvSpPr txBox="1"/>
      </xdr:nvSpPr>
      <xdr:spPr>
        <a:xfrm>
          <a:off x="8210550" y="17049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2</a:t>
          </a:r>
        </a:p>
      </xdr:txBody>
    </xdr:sp>
    <xdr:clientData/>
  </xdr:oneCellAnchor>
  <xdr:oneCellAnchor>
    <xdr:from>
      <xdr:col>13</xdr:col>
      <xdr:colOff>514350</xdr:colOff>
      <xdr:row>12</xdr:row>
      <xdr:rowOff>180975</xdr:rowOff>
    </xdr:from>
    <xdr:ext cx="351410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7F60F56-1BC8-F5F4-9EBB-F653643BE6D0}"/>
            </a:ext>
          </a:extLst>
        </xdr:cNvPr>
        <xdr:cNvSpPr txBox="1"/>
      </xdr:nvSpPr>
      <xdr:spPr>
        <a:xfrm>
          <a:off x="8439150" y="24669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16</xdr:col>
      <xdr:colOff>533400</xdr:colOff>
      <xdr:row>13</xdr:row>
      <xdr:rowOff>38100</xdr:rowOff>
    </xdr:from>
    <xdr:ext cx="351410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C8B9731-6759-8F65-6F45-19FE31DC94EC}"/>
            </a:ext>
          </a:extLst>
        </xdr:cNvPr>
        <xdr:cNvSpPr txBox="1"/>
      </xdr:nvSpPr>
      <xdr:spPr>
        <a:xfrm>
          <a:off x="10287000" y="25146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16</xdr:col>
      <xdr:colOff>495300</xdr:colOff>
      <xdr:row>9</xdr:row>
      <xdr:rowOff>38100</xdr:rowOff>
    </xdr:from>
    <xdr:ext cx="351410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866DB8E-69B3-C31F-1BFC-C066D7F29ACE}"/>
            </a:ext>
          </a:extLst>
        </xdr:cNvPr>
        <xdr:cNvSpPr txBox="1"/>
      </xdr:nvSpPr>
      <xdr:spPr>
        <a:xfrm>
          <a:off x="10248900" y="17526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7</a:t>
          </a:r>
        </a:p>
      </xdr:txBody>
    </xdr:sp>
    <xdr:clientData/>
  </xdr:oneCellAnchor>
  <xdr:oneCellAnchor>
    <xdr:from>
      <xdr:col>17</xdr:col>
      <xdr:colOff>333375</xdr:colOff>
      <xdr:row>6</xdr:row>
      <xdr:rowOff>123825</xdr:rowOff>
    </xdr:from>
    <xdr:ext cx="351410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79D1DC2-EB46-F320-3BFE-5B8FACF5C768}"/>
            </a:ext>
          </a:extLst>
        </xdr:cNvPr>
        <xdr:cNvSpPr txBox="1"/>
      </xdr:nvSpPr>
      <xdr:spPr>
        <a:xfrm>
          <a:off x="10696575" y="12668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15</xdr:col>
      <xdr:colOff>476250</xdr:colOff>
      <xdr:row>4</xdr:row>
      <xdr:rowOff>47625</xdr:rowOff>
    </xdr:from>
    <xdr:ext cx="351410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A4C3468-4197-BC3B-5620-FF5D14B629CA}"/>
            </a:ext>
          </a:extLst>
        </xdr:cNvPr>
        <xdr:cNvSpPr txBox="1"/>
      </xdr:nvSpPr>
      <xdr:spPr>
        <a:xfrm>
          <a:off x="9620250" y="8096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2</a:t>
          </a:r>
        </a:p>
      </xdr:txBody>
    </xdr:sp>
    <xdr:clientData/>
  </xdr:oneCellAnchor>
  <xdr:oneCellAnchor>
    <xdr:from>
      <xdr:col>14</xdr:col>
      <xdr:colOff>495300</xdr:colOff>
      <xdr:row>6</xdr:row>
      <xdr:rowOff>180975</xdr:rowOff>
    </xdr:from>
    <xdr:ext cx="351410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616702D-E021-0DDF-2BC1-7BE6D785ABF7}"/>
            </a:ext>
          </a:extLst>
        </xdr:cNvPr>
        <xdr:cNvSpPr txBox="1"/>
      </xdr:nvSpPr>
      <xdr:spPr>
        <a:xfrm>
          <a:off x="9029700" y="13239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15</xdr:col>
      <xdr:colOff>523875</xdr:colOff>
      <xdr:row>7</xdr:row>
      <xdr:rowOff>104775</xdr:rowOff>
    </xdr:from>
    <xdr:ext cx="351410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1EBB488-9A30-8D67-5F9D-9C4A865E71E8}"/>
            </a:ext>
          </a:extLst>
        </xdr:cNvPr>
        <xdr:cNvSpPr txBox="1"/>
      </xdr:nvSpPr>
      <xdr:spPr>
        <a:xfrm>
          <a:off x="9667875" y="14382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4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590550</xdr:colOff>
      <xdr:row>7</xdr:row>
      <xdr:rowOff>161925</xdr:rowOff>
    </xdr:from>
    <xdr:to>
      <xdr:col>12</xdr:col>
      <xdr:colOff>485775</xdr:colOff>
      <xdr:row>10</xdr:row>
      <xdr:rowOff>38100</xdr:rowOff>
    </xdr:to>
    <xdr:sp macro="" textlink="">
      <xdr:nvSpPr>
        <xdr:cNvPr id="29" name="Овал 28">
          <a:extLst>
            <a:ext uri="{FF2B5EF4-FFF2-40B4-BE49-F238E27FC236}">
              <a16:creationId xmlns:a16="http://schemas.microsoft.com/office/drawing/2014/main" id="{63823211-E87A-4BDE-870E-0B384DB8B377}"/>
            </a:ext>
          </a:extLst>
        </xdr:cNvPr>
        <xdr:cNvSpPr/>
      </xdr:nvSpPr>
      <xdr:spPr>
        <a:xfrm>
          <a:off x="7296150" y="14954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13</xdr:col>
      <xdr:colOff>333375</xdr:colOff>
      <xdr:row>3</xdr:row>
      <xdr:rowOff>123825</xdr:rowOff>
    </xdr:from>
    <xdr:to>
      <xdr:col>14</xdr:col>
      <xdr:colOff>228600</xdr:colOff>
      <xdr:row>6</xdr:row>
      <xdr:rowOff>0</xdr:rowOff>
    </xdr:to>
    <xdr:sp macro="" textlink="">
      <xdr:nvSpPr>
        <xdr:cNvPr id="30" name="Овал 29">
          <a:extLst>
            <a:ext uri="{FF2B5EF4-FFF2-40B4-BE49-F238E27FC236}">
              <a16:creationId xmlns:a16="http://schemas.microsoft.com/office/drawing/2014/main" id="{651289CD-8545-4662-BC96-2A6F0C57FD9A}"/>
            </a:ext>
          </a:extLst>
        </xdr:cNvPr>
        <xdr:cNvSpPr/>
      </xdr:nvSpPr>
      <xdr:spPr>
        <a:xfrm>
          <a:off x="8258175" y="6953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15</xdr:col>
      <xdr:colOff>466725</xdr:colOff>
      <xdr:row>2</xdr:row>
      <xdr:rowOff>142875</xdr:rowOff>
    </xdr:from>
    <xdr:to>
      <xdr:col>16</xdr:col>
      <xdr:colOff>361950</xdr:colOff>
      <xdr:row>5</xdr:row>
      <xdr:rowOff>19050</xdr:rowOff>
    </xdr:to>
    <xdr:sp macro="" textlink="">
      <xdr:nvSpPr>
        <xdr:cNvPr id="31" name="Овал 30">
          <a:extLst>
            <a:ext uri="{FF2B5EF4-FFF2-40B4-BE49-F238E27FC236}">
              <a16:creationId xmlns:a16="http://schemas.microsoft.com/office/drawing/2014/main" id="{33D08BC7-5C7E-4BAB-8EDE-D57B3FF6F3B2}"/>
            </a:ext>
          </a:extLst>
        </xdr:cNvPr>
        <xdr:cNvSpPr/>
      </xdr:nvSpPr>
      <xdr:spPr>
        <a:xfrm>
          <a:off x="9610725" y="52387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17</xdr:col>
      <xdr:colOff>476250</xdr:colOff>
      <xdr:row>4</xdr:row>
      <xdr:rowOff>85725</xdr:rowOff>
    </xdr:from>
    <xdr:to>
      <xdr:col>18</xdr:col>
      <xdr:colOff>371475</xdr:colOff>
      <xdr:row>6</xdr:row>
      <xdr:rowOff>152400</xdr:rowOff>
    </xdr:to>
    <xdr:sp macro="" textlink="">
      <xdr:nvSpPr>
        <xdr:cNvPr id="32" name="Овал 31">
          <a:extLst>
            <a:ext uri="{FF2B5EF4-FFF2-40B4-BE49-F238E27FC236}">
              <a16:creationId xmlns:a16="http://schemas.microsoft.com/office/drawing/2014/main" id="{C6B4D8FA-775C-4C4F-8DDC-CA481929E444}"/>
            </a:ext>
          </a:extLst>
        </xdr:cNvPr>
        <xdr:cNvSpPr/>
      </xdr:nvSpPr>
      <xdr:spPr>
        <a:xfrm>
          <a:off x="10839450" y="8477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19</xdr:col>
      <xdr:colOff>381000</xdr:colOff>
      <xdr:row>8</xdr:row>
      <xdr:rowOff>47625</xdr:rowOff>
    </xdr:from>
    <xdr:to>
      <xdr:col>20</xdr:col>
      <xdr:colOff>276225</xdr:colOff>
      <xdr:row>10</xdr:row>
      <xdr:rowOff>114300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DAF1D396-27B9-40F4-BA9F-508A34870D85}"/>
            </a:ext>
          </a:extLst>
        </xdr:cNvPr>
        <xdr:cNvSpPr/>
      </xdr:nvSpPr>
      <xdr:spPr>
        <a:xfrm>
          <a:off x="11963400" y="15716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16</xdr:col>
      <xdr:colOff>209550</xdr:colOff>
      <xdr:row>8</xdr:row>
      <xdr:rowOff>152400</xdr:rowOff>
    </xdr:from>
    <xdr:to>
      <xdr:col>17</xdr:col>
      <xdr:colOff>104775</xdr:colOff>
      <xdr:row>11</xdr:row>
      <xdr:rowOff>28575</xdr:rowOff>
    </xdr:to>
    <xdr:sp macro="" textlink="">
      <xdr:nvSpPr>
        <xdr:cNvPr id="34" name="Овал 33">
          <a:extLst>
            <a:ext uri="{FF2B5EF4-FFF2-40B4-BE49-F238E27FC236}">
              <a16:creationId xmlns:a16="http://schemas.microsoft.com/office/drawing/2014/main" id="{342264D3-2B0A-48D6-B340-435FB223F6D5}"/>
            </a:ext>
          </a:extLst>
        </xdr:cNvPr>
        <xdr:cNvSpPr/>
      </xdr:nvSpPr>
      <xdr:spPr>
        <a:xfrm>
          <a:off x="9963150" y="167640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16</xdr:col>
      <xdr:colOff>542925</xdr:colOff>
      <xdr:row>14</xdr:row>
      <xdr:rowOff>95250</xdr:rowOff>
    </xdr:from>
    <xdr:to>
      <xdr:col>17</xdr:col>
      <xdr:colOff>438150</xdr:colOff>
      <xdr:row>16</xdr:row>
      <xdr:rowOff>161925</xdr:rowOff>
    </xdr:to>
    <xdr:sp macro="" textlink="">
      <xdr:nvSpPr>
        <xdr:cNvPr id="35" name="Овал 34">
          <a:extLst>
            <a:ext uri="{FF2B5EF4-FFF2-40B4-BE49-F238E27FC236}">
              <a16:creationId xmlns:a16="http://schemas.microsoft.com/office/drawing/2014/main" id="{8B4C6687-70BD-43C8-ACDC-096EBC77F7BA}"/>
            </a:ext>
          </a:extLst>
        </xdr:cNvPr>
        <xdr:cNvSpPr/>
      </xdr:nvSpPr>
      <xdr:spPr>
        <a:xfrm>
          <a:off x="10296525" y="276225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12</xdr:col>
      <xdr:colOff>411845</xdr:colOff>
      <xdr:row>5</xdr:row>
      <xdr:rowOff>124940</xdr:rowOff>
    </xdr:from>
    <xdr:to>
      <xdr:col>13</xdr:col>
      <xdr:colOff>407305</xdr:colOff>
      <xdr:row>8</xdr:row>
      <xdr:rowOff>36985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B64D9957-A1E5-4625-A56F-B5EC75264F4E}"/>
            </a:ext>
          </a:extLst>
        </xdr:cNvPr>
        <xdr:cNvCxnSpPr>
          <a:stCxn id="29" idx="7"/>
          <a:endCxn id="30" idx="3"/>
        </xdr:cNvCxnSpPr>
      </xdr:nvCxnSpPr>
      <xdr:spPr>
        <a:xfrm flipV="1">
          <a:off x="7727045" y="1077440"/>
          <a:ext cx="605060" cy="483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228600</xdr:colOff>
      <xdr:row>3</xdr:row>
      <xdr:rowOff>176213</xdr:rowOff>
    </xdr:from>
    <xdr:to>
      <xdr:col>15</xdr:col>
      <xdr:colOff>466725</xdr:colOff>
      <xdr:row>4</xdr:row>
      <xdr:rowOff>157163</xdr:rowOff>
    </xdr:to>
    <xdr:cxnSp macro="">
      <xdr:nvCxnSpPr>
        <xdr:cNvPr id="37" name="Прямая со стрелкой 36">
          <a:extLst>
            <a:ext uri="{FF2B5EF4-FFF2-40B4-BE49-F238E27FC236}">
              <a16:creationId xmlns:a16="http://schemas.microsoft.com/office/drawing/2014/main" id="{939A1F9A-3044-4375-AD2B-CE9FA4A2867B}"/>
            </a:ext>
          </a:extLst>
        </xdr:cNvPr>
        <xdr:cNvCxnSpPr>
          <a:stCxn id="30" idx="6"/>
          <a:endCxn id="31" idx="2"/>
        </xdr:cNvCxnSpPr>
      </xdr:nvCxnSpPr>
      <xdr:spPr>
        <a:xfrm flipV="1">
          <a:off x="8763000" y="747713"/>
          <a:ext cx="847725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361950</xdr:colOff>
      <xdr:row>3</xdr:row>
      <xdr:rowOff>176213</xdr:rowOff>
    </xdr:from>
    <xdr:to>
      <xdr:col>17</xdr:col>
      <xdr:colOff>476250</xdr:colOff>
      <xdr:row>5</xdr:row>
      <xdr:rowOff>119063</xdr:rowOff>
    </xdr:to>
    <xdr:cxnSp macro="">
      <xdr:nvCxnSpPr>
        <xdr:cNvPr id="38" name="Прямая со стрелкой 37">
          <a:extLst>
            <a:ext uri="{FF2B5EF4-FFF2-40B4-BE49-F238E27FC236}">
              <a16:creationId xmlns:a16="http://schemas.microsoft.com/office/drawing/2014/main" id="{85546785-97C7-4C41-B2D9-9F3989300FA3}"/>
            </a:ext>
          </a:extLst>
        </xdr:cNvPr>
        <xdr:cNvCxnSpPr>
          <a:stCxn id="31" idx="6"/>
          <a:endCxn id="32" idx="2"/>
        </xdr:cNvCxnSpPr>
      </xdr:nvCxnSpPr>
      <xdr:spPr>
        <a:xfrm>
          <a:off x="10115550" y="747713"/>
          <a:ext cx="72390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109538</xdr:colOff>
      <xdr:row>5</xdr:row>
      <xdr:rowOff>19050</xdr:rowOff>
    </xdr:from>
    <xdr:to>
      <xdr:col>16</xdr:col>
      <xdr:colOff>461963</xdr:colOff>
      <xdr:row>8</xdr:row>
      <xdr:rowOff>152400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D2CB4457-D738-4EEE-B199-23FDAD336CD6}"/>
            </a:ext>
          </a:extLst>
        </xdr:cNvPr>
        <xdr:cNvCxnSpPr>
          <a:stCxn id="31" idx="4"/>
          <a:endCxn id="34" idx="0"/>
        </xdr:cNvCxnSpPr>
      </xdr:nvCxnSpPr>
      <xdr:spPr>
        <a:xfrm>
          <a:off x="9863138" y="971550"/>
          <a:ext cx="352425" cy="704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104775</xdr:colOff>
      <xdr:row>9</xdr:row>
      <xdr:rowOff>80963</xdr:rowOff>
    </xdr:from>
    <xdr:to>
      <xdr:col>19</xdr:col>
      <xdr:colOff>381000</xdr:colOff>
      <xdr:row>9</xdr:row>
      <xdr:rowOff>185738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98D970D6-CDBC-4826-82DE-C9827B0AD39D}"/>
            </a:ext>
          </a:extLst>
        </xdr:cNvPr>
        <xdr:cNvCxnSpPr>
          <a:stCxn id="34" idx="6"/>
          <a:endCxn id="33" idx="2"/>
        </xdr:cNvCxnSpPr>
      </xdr:nvCxnSpPr>
      <xdr:spPr>
        <a:xfrm flipV="1">
          <a:off x="10467975" y="1795463"/>
          <a:ext cx="149542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297545</xdr:colOff>
      <xdr:row>6</xdr:row>
      <xdr:rowOff>86840</xdr:rowOff>
    </xdr:from>
    <xdr:to>
      <xdr:col>19</xdr:col>
      <xdr:colOff>454930</xdr:colOff>
      <xdr:row>8</xdr:row>
      <xdr:rowOff>113185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729D31E2-32B3-48D8-A5FE-51C08BDD8353}"/>
            </a:ext>
          </a:extLst>
        </xdr:cNvPr>
        <xdr:cNvCxnSpPr>
          <a:stCxn id="32" idx="5"/>
          <a:endCxn id="33" idx="1"/>
        </xdr:cNvCxnSpPr>
      </xdr:nvCxnSpPr>
      <xdr:spPr>
        <a:xfrm>
          <a:off x="11270345" y="1229840"/>
          <a:ext cx="766985" cy="4073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411845</xdr:colOff>
      <xdr:row>9</xdr:row>
      <xdr:rowOff>163040</xdr:rowOff>
    </xdr:from>
    <xdr:to>
      <xdr:col>16</xdr:col>
      <xdr:colOff>542925</xdr:colOff>
      <xdr:row>15</xdr:row>
      <xdr:rowOff>128588</xdr:rowOff>
    </xdr:to>
    <xdr:cxnSp macro="">
      <xdr:nvCxnSpPr>
        <xdr:cNvPr id="42" name="Прямая со стрелкой 41">
          <a:extLst>
            <a:ext uri="{FF2B5EF4-FFF2-40B4-BE49-F238E27FC236}">
              <a16:creationId xmlns:a16="http://schemas.microsoft.com/office/drawing/2014/main" id="{948D370F-FFE7-4786-B98A-A24016D62D95}"/>
            </a:ext>
          </a:extLst>
        </xdr:cNvPr>
        <xdr:cNvCxnSpPr>
          <a:stCxn id="29" idx="5"/>
          <a:endCxn id="35" idx="2"/>
        </xdr:cNvCxnSpPr>
      </xdr:nvCxnSpPr>
      <xdr:spPr>
        <a:xfrm>
          <a:off x="7727045" y="1877540"/>
          <a:ext cx="2569480" cy="1108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438150</xdr:colOff>
      <xdr:row>10</xdr:row>
      <xdr:rowOff>48740</xdr:rowOff>
    </xdr:from>
    <xdr:to>
      <xdr:col>19</xdr:col>
      <xdr:colOff>454930</xdr:colOff>
      <xdr:row>15</xdr:row>
      <xdr:rowOff>128588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EAA66F2B-BF6F-4A52-A59C-67C2818F95CD}"/>
            </a:ext>
          </a:extLst>
        </xdr:cNvPr>
        <xdr:cNvCxnSpPr>
          <a:stCxn id="35" idx="6"/>
          <a:endCxn id="33" idx="3"/>
        </xdr:cNvCxnSpPr>
      </xdr:nvCxnSpPr>
      <xdr:spPr>
        <a:xfrm flipV="1">
          <a:off x="10801350" y="1953740"/>
          <a:ext cx="1235980" cy="1032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9</xdr:row>
      <xdr:rowOff>4763</xdr:rowOff>
    </xdr:from>
    <xdr:to>
      <xdr:col>16</xdr:col>
      <xdr:colOff>209550</xdr:colOff>
      <xdr:row>9</xdr:row>
      <xdr:rowOff>185738</xdr:rowOff>
    </xdr:to>
    <xdr:cxnSp macro="">
      <xdr:nvCxnSpPr>
        <xdr:cNvPr id="44" name="Прямая со стрелкой 43">
          <a:extLst>
            <a:ext uri="{FF2B5EF4-FFF2-40B4-BE49-F238E27FC236}">
              <a16:creationId xmlns:a16="http://schemas.microsoft.com/office/drawing/2014/main" id="{9883F224-2EAC-4671-B6C4-E54C618FF199}"/>
            </a:ext>
          </a:extLst>
        </xdr:cNvPr>
        <xdr:cNvCxnSpPr>
          <a:stCxn id="29" idx="6"/>
          <a:endCxn id="34" idx="2"/>
        </xdr:cNvCxnSpPr>
      </xdr:nvCxnSpPr>
      <xdr:spPr>
        <a:xfrm>
          <a:off x="7800975" y="1719263"/>
          <a:ext cx="216217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30845</xdr:colOff>
      <xdr:row>6</xdr:row>
      <xdr:rowOff>86840</xdr:rowOff>
    </xdr:from>
    <xdr:to>
      <xdr:col>17</xdr:col>
      <xdr:colOff>550180</xdr:colOff>
      <xdr:row>9</xdr:row>
      <xdr:rowOff>27460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ED1942D9-0FC8-4D84-BC7C-2FEF3AB5F843}"/>
            </a:ext>
          </a:extLst>
        </xdr:cNvPr>
        <xdr:cNvCxnSpPr>
          <a:stCxn id="34" idx="7"/>
          <a:endCxn id="32" idx="3"/>
        </xdr:cNvCxnSpPr>
      </xdr:nvCxnSpPr>
      <xdr:spPr>
        <a:xfrm flipV="1">
          <a:off x="10394045" y="1229840"/>
          <a:ext cx="519335" cy="5121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485775</xdr:colOff>
      <xdr:row>6</xdr:row>
      <xdr:rowOff>0</xdr:rowOff>
    </xdr:from>
    <xdr:ext cx="351410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3E9FB11-293D-45C1-A4F7-620BED1D0643}"/>
            </a:ext>
          </a:extLst>
        </xdr:cNvPr>
        <xdr:cNvSpPr txBox="1"/>
      </xdr:nvSpPr>
      <xdr:spPr>
        <a:xfrm>
          <a:off x="7800975" y="11430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14</xdr:col>
      <xdr:colOff>485775</xdr:colOff>
      <xdr:row>3</xdr:row>
      <xdr:rowOff>47625</xdr:rowOff>
    </xdr:from>
    <xdr:ext cx="351410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6FEDFA0-D1DC-4E09-918F-E0B76E359B61}"/>
            </a:ext>
          </a:extLst>
        </xdr:cNvPr>
        <xdr:cNvSpPr txBox="1"/>
      </xdr:nvSpPr>
      <xdr:spPr>
        <a:xfrm>
          <a:off x="9020175" y="6191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14</xdr:col>
      <xdr:colOff>457200</xdr:colOff>
      <xdr:row>8</xdr:row>
      <xdr:rowOff>66675</xdr:rowOff>
    </xdr:from>
    <xdr:ext cx="351410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FB0437F-E67B-4071-A861-DB1973A2720D}"/>
            </a:ext>
          </a:extLst>
        </xdr:cNvPr>
        <xdr:cNvSpPr txBox="1"/>
      </xdr:nvSpPr>
      <xdr:spPr>
        <a:xfrm>
          <a:off x="8991600" y="15906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2</a:t>
          </a:r>
        </a:p>
      </xdr:txBody>
    </xdr:sp>
    <xdr:clientData/>
  </xdr:oneCellAnchor>
  <xdr:oneCellAnchor>
    <xdr:from>
      <xdr:col>15</xdr:col>
      <xdr:colOff>76200</xdr:colOff>
      <xdr:row>12</xdr:row>
      <xdr:rowOff>66675</xdr:rowOff>
    </xdr:from>
    <xdr:ext cx="351410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BC3DEF4-55C9-4738-B492-7CBAEDD0A0AE}"/>
            </a:ext>
          </a:extLst>
        </xdr:cNvPr>
        <xdr:cNvSpPr txBox="1"/>
      </xdr:nvSpPr>
      <xdr:spPr>
        <a:xfrm>
          <a:off x="9220200" y="23526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18</xdr:col>
      <xdr:colOff>95250</xdr:colOff>
      <xdr:row>12</xdr:row>
      <xdr:rowOff>114300</xdr:rowOff>
    </xdr:from>
    <xdr:ext cx="351410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89EEDE2-63A5-45B3-A86C-02B2F57375FE}"/>
            </a:ext>
          </a:extLst>
        </xdr:cNvPr>
        <xdr:cNvSpPr txBox="1"/>
      </xdr:nvSpPr>
      <xdr:spPr>
        <a:xfrm>
          <a:off x="11068050" y="24003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18</xdr:col>
      <xdr:colOff>57150</xdr:colOff>
      <xdr:row>8</xdr:row>
      <xdr:rowOff>114300</xdr:rowOff>
    </xdr:from>
    <xdr:ext cx="351410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0FC8ED2-1E7C-4DB8-B15E-ACCF61FE8D33}"/>
            </a:ext>
          </a:extLst>
        </xdr:cNvPr>
        <xdr:cNvSpPr txBox="1"/>
      </xdr:nvSpPr>
      <xdr:spPr>
        <a:xfrm>
          <a:off x="11029950" y="16383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7</a:t>
          </a:r>
        </a:p>
      </xdr:txBody>
    </xdr:sp>
    <xdr:clientData/>
  </xdr:oneCellAnchor>
  <xdr:oneCellAnchor>
    <xdr:from>
      <xdr:col>18</xdr:col>
      <xdr:colOff>504825</xdr:colOff>
      <xdr:row>6</xdr:row>
      <xdr:rowOff>9525</xdr:rowOff>
    </xdr:from>
    <xdr:ext cx="351410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322ED38-7ECB-4A8F-90C9-566F60A93E79}"/>
            </a:ext>
          </a:extLst>
        </xdr:cNvPr>
        <xdr:cNvSpPr txBox="1"/>
      </xdr:nvSpPr>
      <xdr:spPr>
        <a:xfrm>
          <a:off x="11477625" y="11525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17</xdr:col>
      <xdr:colOff>38100</xdr:colOff>
      <xdr:row>3</xdr:row>
      <xdr:rowOff>123825</xdr:rowOff>
    </xdr:from>
    <xdr:ext cx="351410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39BC5FB-194A-4C10-8B39-817470272742}"/>
            </a:ext>
          </a:extLst>
        </xdr:cNvPr>
        <xdr:cNvSpPr txBox="1"/>
      </xdr:nvSpPr>
      <xdr:spPr>
        <a:xfrm>
          <a:off x="10401300" y="6953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2</a:t>
          </a:r>
        </a:p>
      </xdr:txBody>
    </xdr:sp>
    <xdr:clientData/>
  </xdr:oneCellAnchor>
  <xdr:oneCellAnchor>
    <xdr:from>
      <xdr:col>16</xdr:col>
      <xdr:colOff>57150</xdr:colOff>
      <xdr:row>6</xdr:row>
      <xdr:rowOff>66675</xdr:rowOff>
    </xdr:from>
    <xdr:ext cx="351410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0E0F7AF-5E4F-498B-A4B9-45015FEC9B2A}"/>
            </a:ext>
          </a:extLst>
        </xdr:cNvPr>
        <xdr:cNvSpPr txBox="1"/>
      </xdr:nvSpPr>
      <xdr:spPr>
        <a:xfrm>
          <a:off x="9810750" y="12096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17</xdr:col>
      <xdr:colOff>85725</xdr:colOff>
      <xdr:row>6</xdr:row>
      <xdr:rowOff>180975</xdr:rowOff>
    </xdr:from>
    <xdr:ext cx="351410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759E6EB-1711-4412-B0F3-0BB6B719FD2D}"/>
            </a:ext>
          </a:extLst>
        </xdr:cNvPr>
        <xdr:cNvSpPr txBox="1"/>
      </xdr:nvSpPr>
      <xdr:spPr>
        <a:xfrm>
          <a:off x="10448925" y="13239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10</xdr:row>
      <xdr:rowOff>85725</xdr:rowOff>
    </xdr:from>
    <xdr:to>
      <xdr:col>11</xdr:col>
      <xdr:colOff>314325</xdr:colOff>
      <xdr:row>12</xdr:row>
      <xdr:rowOff>152400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6219F830-649A-43EC-B1E9-C2E4E0BB3CBC}"/>
            </a:ext>
          </a:extLst>
        </xdr:cNvPr>
        <xdr:cNvSpPr/>
      </xdr:nvSpPr>
      <xdr:spPr>
        <a:xfrm>
          <a:off x="6915150" y="18002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12</xdr:col>
      <xdr:colOff>161925</xdr:colOff>
      <xdr:row>6</xdr:row>
      <xdr:rowOff>47625</xdr:rowOff>
    </xdr:from>
    <xdr:to>
      <xdr:col>13</xdr:col>
      <xdr:colOff>57150</xdr:colOff>
      <xdr:row>8</xdr:row>
      <xdr:rowOff>114300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172CB7C5-429C-4520-BD4E-AE738445B789}"/>
            </a:ext>
          </a:extLst>
        </xdr:cNvPr>
        <xdr:cNvSpPr/>
      </xdr:nvSpPr>
      <xdr:spPr>
        <a:xfrm>
          <a:off x="7877175" y="10001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14</xdr:col>
      <xdr:colOff>295275</xdr:colOff>
      <xdr:row>5</xdr:row>
      <xdr:rowOff>66675</xdr:rowOff>
    </xdr:from>
    <xdr:to>
      <xdr:col>15</xdr:col>
      <xdr:colOff>190500</xdr:colOff>
      <xdr:row>7</xdr:row>
      <xdr:rowOff>133350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FFDBC3F8-EF22-427A-9575-E7BA86669919}"/>
            </a:ext>
          </a:extLst>
        </xdr:cNvPr>
        <xdr:cNvSpPr/>
      </xdr:nvSpPr>
      <xdr:spPr>
        <a:xfrm>
          <a:off x="9229725" y="82867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16</xdr:col>
      <xdr:colOff>304800</xdr:colOff>
      <xdr:row>7</xdr:row>
      <xdr:rowOff>9525</xdr:rowOff>
    </xdr:from>
    <xdr:to>
      <xdr:col>17</xdr:col>
      <xdr:colOff>200025</xdr:colOff>
      <xdr:row>9</xdr:row>
      <xdr:rowOff>76200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4020ACF1-B6C3-41A1-8F1D-FD2F936312D3}"/>
            </a:ext>
          </a:extLst>
        </xdr:cNvPr>
        <xdr:cNvSpPr/>
      </xdr:nvSpPr>
      <xdr:spPr>
        <a:xfrm>
          <a:off x="10458450" y="11525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18</xdr:col>
      <xdr:colOff>209550</xdr:colOff>
      <xdr:row>10</xdr:row>
      <xdr:rowOff>161925</xdr:rowOff>
    </xdr:from>
    <xdr:to>
      <xdr:col>19</xdr:col>
      <xdr:colOff>104775</xdr:colOff>
      <xdr:row>13</xdr:row>
      <xdr:rowOff>38100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579324CB-7265-4988-BE32-2DE1A4511BD3}"/>
            </a:ext>
          </a:extLst>
        </xdr:cNvPr>
        <xdr:cNvSpPr/>
      </xdr:nvSpPr>
      <xdr:spPr>
        <a:xfrm>
          <a:off x="11582400" y="18764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15</xdr:col>
      <xdr:colOff>38100</xdr:colOff>
      <xdr:row>11</xdr:row>
      <xdr:rowOff>76200</xdr:rowOff>
    </xdr:from>
    <xdr:to>
      <xdr:col>15</xdr:col>
      <xdr:colOff>542925</xdr:colOff>
      <xdr:row>13</xdr:row>
      <xdr:rowOff>142875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477FE6F9-3001-4425-BCE0-D1759FE53885}"/>
            </a:ext>
          </a:extLst>
        </xdr:cNvPr>
        <xdr:cNvSpPr/>
      </xdr:nvSpPr>
      <xdr:spPr>
        <a:xfrm>
          <a:off x="9582150" y="198120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15</xdr:col>
      <xdr:colOff>371475</xdr:colOff>
      <xdr:row>17</xdr:row>
      <xdr:rowOff>19050</xdr:rowOff>
    </xdr:from>
    <xdr:to>
      <xdr:col>16</xdr:col>
      <xdr:colOff>266700</xdr:colOff>
      <xdr:row>19</xdr:row>
      <xdr:rowOff>85725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39887DF1-5945-4795-A178-7482846304A6}"/>
            </a:ext>
          </a:extLst>
        </xdr:cNvPr>
        <xdr:cNvSpPr/>
      </xdr:nvSpPr>
      <xdr:spPr>
        <a:xfrm>
          <a:off x="9915525" y="306705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11</xdr:col>
      <xdr:colOff>240395</xdr:colOff>
      <xdr:row>8</xdr:row>
      <xdr:rowOff>48740</xdr:rowOff>
    </xdr:from>
    <xdr:to>
      <xdr:col>12</xdr:col>
      <xdr:colOff>235855</xdr:colOff>
      <xdr:row>10</xdr:row>
      <xdr:rowOff>151285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EE9DD35B-95A7-4DF6-A2AA-62A0D2AE8CB4}"/>
            </a:ext>
          </a:extLst>
        </xdr:cNvPr>
        <xdr:cNvCxnSpPr>
          <a:stCxn id="2" idx="7"/>
          <a:endCxn id="3" idx="3"/>
        </xdr:cNvCxnSpPr>
      </xdr:nvCxnSpPr>
      <xdr:spPr>
        <a:xfrm flipV="1">
          <a:off x="7346045" y="1382240"/>
          <a:ext cx="605060" cy="483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6</xdr:row>
      <xdr:rowOff>100013</xdr:rowOff>
    </xdr:from>
    <xdr:to>
      <xdr:col>14</xdr:col>
      <xdr:colOff>295275</xdr:colOff>
      <xdr:row>7</xdr:row>
      <xdr:rowOff>80963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63AACAD2-B621-45AF-8075-A28A3781884A}"/>
            </a:ext>
          </a:extLst>
        </xdr:cNvPr>
        <xdr:cNvCxnSpPr>
          <a:stCxn id="3" idx="6"/>
          <a:endCxn id="4" idx="2"/>
        </xdr:cNvCxnSpPr>
      </xdr:nvCxnSpPr>
      <xdr:spPr>
        <a:xfrm flipV="1">
          <a:off x="8382000" y="1052513"/>
          <a:ext cx="847725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</xdr:row>
      <xdr:rowOff>100013</xdr:rowOff>
    </xdr:from>
    <xdr:to>
      <xdr:col>16</xdr:col>
      <xdr:colOff>304800</xdr:colOff>
      <xdr:row>8</xdr:row>
      <xdr:rowOff>42863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9E35F976-B081-45F8-B404-1A95F65BD275}"/>
            </a:ext>
          </a:extLst>
        </xdr:cNvPr>
        <xdr:cNvCxnSpPr>
          <a:stCxn id="4" idx="6"/>
          <a:endCxn id="5" idx="2"/>
        </xdr:cNvCxnSpPr>
      </xdr:nvCxnSpPr>
      <xdr:spPr>
        <a:xfrm>
          <a:off x="9734550" y="1052513"/>
          <a:ext cx="72390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547688</xdr:colOff>
      <xdr:row>7</xdr:row>
      <xdr:rowOff>133350</xdr:rowOff>
    </xdr:from>
    <xdr:to>
      <xdr:col>15</xdr:col>
      <xdr:colOff>290513</xdr:colOff>
      <xdr:row>11</xdr:row>
      <xdr:rowOff>76200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C52BE3B4-7D18-41AC-9391-683F030970BA}"/>
            </a:ext>
          </a:extLst>
        </xdr:cNvPr>
        <xdr:cNvCxnSpPr>
          <a:stCxn id="4" idx="4"/>
          <a:endCxn id="7" idx="0"/>
        </xdr:cNvCxnSpPr>
      </xdr:nvCxnSpPr>
      <xdr:spPr>
        <a:xfrm>
          <a:off x="9482138" y="1276350"/>
          <a:ext cx="352425" cy="704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542925</xdr:colOff>
      <xdr:row>12</xdr:row>
      <xdr:rowOff>4763</xdr:rowOff>
    </xdr:from>
    <xdr:to>
      <xdr:col>18</xdr:col>
      <xdr:colOff>209550</xdr:colOff>
      <xdr:row>12</xdr:row>
      <xdr:rowOff>109538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154F63AE-4284-443E-9805-8FDD64CB2791}"/>
            </a:ext>
          </a:extLst>
        </xdr:cNvPr>
        <xdr:cNvCxnSpPr>
          <a:stCxn id="7" idx="6"/>
          <a:endCxn id="6" idx="2"/>
        </xdr:cNvCxnSpPr>
      </xdr:nvCxnSpPr>
      <xdr:spPr>
        <a:xfrm flipV="1">
          <a:off x="10086975" y="2100263"/>
          <a:ext cx="149542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126095</xdr:colOff>
      <xdr:row>9</xdr:row>
      <xdr:rowOff>10640</xdr:rowOff>
    </xdr:from>
    <xdr:to>
      <xdr:col>18</xdr:col>
      <xdr:colOff>283480</xdr:colOff>
      <xdr:row>11</xdr:row>
      <xdr:rowOff>36985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5504267F-0BC3-4D67-BC5B-7E55A7E519D8}"/>
            </a:ext>
          </a:extLst>
        </xdr:cNvPr>
        <xdr:cNvCxnSpPr>
          <a:stCxn id="5" idx="5"/>
          <a:endCxn id="6" idx="1"/>
        </xdr:cNvCxnSpPr>
      </xdr:nvCxnSpPr>
      <xdr:spPr>
        <a:xfrm>
          <a:off x="10889345" y="1534640"/>
          <a:ext cx="766985" cy="4073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240395</xdr:colOff>
      <xdr:row>12</xdr:row>
      <xdr:rowOff>86840</xdr:rowOff>
    </xdr:from>
    <xdr:to>
      <xdr:col>15</xdr:col>
      <xdr:colOff>371475</xdr:colOff>
      <xdr:row>18</xdr:row>
      <xdr:rowOff>52388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1A6EAB94-6473-4637-9286-3291604BE297}"/>
            </a:ext>
          </a:extLst>
        </xdr:cNvPr>
        <xdr:cNvCxnSpPr>
          <a:stCxn id="2" idx="5"/>
          <a:endCxn id="8" idx="2"/>
        </xdr:cNvCxnSpPr>
      </xdr:nvCxnSpPr>
      <xdr:spPr>
        <a:xfrm>
          <a:off x="7346045" y="2182340"/>
          <a:ext cx="2569480" cy="1108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12</xdr:row>
      <xdr:rowOff>163040</xdr:rowOff>
    </xdr:from>
    <xdr:to>
      <xdr:col>18</xdr:col>
      <xdr:colOff>283480</xdr:colOff>
      <xdr:row>18</xdr:row>
      <xdr:rowOff>52388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19901DB6-8201-4ADB-B6E2-DD89A3EA4C7B}"/>
            </a:ext>
          </a:extLst>
        </xdr:cNvPr>
        <xdr:cNvCxnSpPr>
          <a:stCxn id="8" idx="6"/>
          <a:endCxn id="6" idx="3"/>
        </xdr:cNvCxnSpPr>
      </xdr:nvCxnSpPr>
      <xdr:spPr>
        <a:xfrm flipV="1">
          <a:off x="10420350" y="2258540"/>
          <a:ext cx="1235980" cy="1032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314325</xdr:colOff>
      <xdr:row>11</xdr:row>
      <xdr:rowOff>119063</xdr:rowOff>
    </xdr:from>
    <xdr:to>
      <xdr:col>15</xdr:col>
      <xdr:colOff>38100</xdr:colOff>
      <xdr:row>12</xdr:row>
      <xdr:rowOff>109538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9136041D-2DD6-4EEB-8057-30872E8F33EE}"/>
            </a:ext>
          </a:extLst>
        </xdr:cNvPr>
        <xdr:cNvCxnSpPr>
          <a:stCxn id="2" idx="6"/>
          <a:endCxn id="7" idx="2"/>
        </xdr:cNvCxnSpPr>
      </xdr:nvCxnSpPr>
      <xdr:spPr>
        <a:xfrm>
          <a:off x="7419975" y="2024063"/>
          <a:ext cx="216217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468995</xdr:colOff>
      <xdr:row>9</xdr:row>
      <xdr:rowOff>10640</xdr:rowOff>
    </xdr:from>
    <xdr:to>
      <xdr:col>16</xdr:col>
      <xdr:colOff>378730</xdr:colOff>
      <xdr:row>11</xdr:row>
      <xdr:rowOff>141760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C0B14928-682D-4954-A86B-F6450A0DB931}"/>
            </a:ext>
          </a:extLst>
        </xdr:cNvPr>
        <xdr:cNvCxnSpPr>
          <a:stCxn id="7" idx="7"/>
          <a:endCxn id="5" idx="3"/>
        </xdr:cNvCxnSpPr>
      </xdr:nvCxnSpPr>
      <xdr:spPr>
        <a:xfrm flipV="1">
          <a:off x="10013045" y="1534640"/>
          <a:ext cx="519335" cy="5121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95249</xdr:colOff>
      <xdr:row>8</xdr:row>
      <xdr:rowOff>133350</xdr:rowOff>
    </xdr:from>
    <xdr:ext cx="561975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AF10748-BA89-41BA-855F-369E6DE3AFBF}"/>
            </a:ext>
          </a:extLst>
        </xdr:cNvPr>
        <xdr:cNvSpPr txBox="1"/>
      </xdr:nvSpPr>
      <xdr:spPr>
        <a:xfrm>
          <a:off x="7134224" y="1905000"/>
          <a:ext cx="5619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5</a:t>
          </a:r>
          <a:r>
            <a:rPr lang="ru-RU" sz="1100" strike="dblStrike"/>
            <a:t>,3,</a:t>
          </a:r>
          <a:r>
            <a:rPr lang="ru-RU" sz="1100" strike="noStrike"/>
            <a:t>2</a:t>
          </a:r>
          <a:endParaRPr lang="ru-RU" sz="1100"/>
        </a:p>
      </xdr:txBody>
    </xdr:sp>
    <xdr:clientData/>
  </xdr:oneCellAnchor>
  <xdr:oneCellAnchor>
    <xdr:from>
      <xdr:col>13</xdr:col>
      <xdr:colOff>200025</xdr:colOff>
      <xdr:row>5</xdr:row>
      <xdr:rowOff>161925</xdr:rowOff>
    </xdr:from>
    <xdr:ext cx="5334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7611FA3-68EC-46C2-A79C-E1632004E900}"/>
            </a:ext>
          </a:extLst>
        </xdr:cNvPr>
        <xdr:cNvSpPr txBox="1"/>
      </xdr:nvSpPr>
      <xdr:spPr>
        <a:xfrm>
          <a:off x="8458200" y="1362075"/>
          <a:ext cx="533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3,</a:t>
          </a:r>
          <a:r>
            <a:rPr lang="ru-RU" sz="1100"/>
            <a:t> </a:t>
          </a:r>
          <a:r>
            <a:rPr lang="ru-RU" sz="1100" strike="dblStrike" baseline="0"/>
            <a:t>1,</a:t>
          </a:r>
          <a:r>
            <a:rPr lang="ru-RU" sz="1100"/>
            <a:t>0</a:t>
          </a:r>
        </a:p>
      </xdr:txBody>
    </xdr:sp>
    <xdr:clientData/>
  </xdr:oneCellAnchor>
  <xdr:oneCellAnchor>
    <xdr:from>
      <xdr:col>13</xdr:col>
      <xdr:colOff>266699</xdr:colOff>
      <xdr:row>10</xdr:row>
      <xdr:rowOff>180975</xdr:rowOff>
    </xdr:from>
    <xdr:ext cx="466725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A06BEBB-1F29-4B50-A0E9-74FCC1B1681C}"/>
            </a:ext>
          </a:extLst>
        </xdr:cNvPr>
        <xdr:cNvSpPr txBox="1"/>
      </xdr:nvSpPr>
      <xdr:spPr>
        <a:xfrm>
          <a:off x="8524874" y="2333625"/>
          <a:ext cx="466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2,</a:t>
          </a:r>
          <a:r>
            <a:rPr lang="ru-RU" sz="1100"/>
            <a:t>0</a:t>
          </a:r>
        </a:p>
      </xdr:txBody>
    </xdr:sp>
    <xdr:clientData/>
  </xdr:oneCellAnchor>
  <xdr:oneCellAnchor>
    <xdr:from>
      <xdr:col>13</xdr:col>
      <xdr:colOff>514349</xdr:colOff>
      <xdr:row>14</xdr:row>
      <xdr:rowOff>180975</xdr:rowOff>
    </xdr:from>
    <xdr:ext cx="447675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CA96942-1A82-4237-A549-B1EFD735FD2F}"/>
            </a:ext>
          </a:extLst>
        </xdr:cNvPr>
        <xdr:cNvSpPr txBox="1"/>
      </xdr:nvSpPr>
      <xdr:spPr>
        <a:xfrm>
          <a:off x="8772524" y="309562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3,</a:t>
          </a:r>
          <a:r>
            <a:rPr lang="ru-RU" sz="1100"/>
            <a:t>0</a:t>
          </a:r>
        </a:p>
      </xdr:txBody>
    </xdr:sp>
    <xdr:clientData/>
  </xdr:oneCellAnchor>
  <xdr:oneCellAnchor>
    <xdr:from>
      <xdr:col>16</xdr:col>
      <xdr:colOff>533400</xdr:colOff>
      <xdr:row>15</xdr:row>
      <xdr:rowOff>38100</xdr:rowOff>
    </xdr:from>
    <xdr:ext cx="476250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25E516E-CE59-4CD6-997B-852296599C98}"/>
            </a:ext>
          </a:extLst>
        </xdr:cNvPr>
        <xdr:cNvSpPr txBox="1"/>
      </xdr:nvSpPr>
      <xdr:spPr>
        <a:xfrm>
          <a:off x="10620375" y="3143250"/>
          <a:ext cx="4762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3,</a:t>
          </a:r>
          <a:r>
            <a:rPr lang="ru-RU" sz="1100"/>
            <a:t>0</a:t>
          </a:r>
        </a:p>
      </xdr:txBody>
    </xdr:sp>
    <xdr:clientData/>
  </xdr:oneCellAnchor>
  <xdr:oneCellAnchor>
    <xdr:from>
      <xdr:col>16</xdr:col>
      <xdr:colOff>495299</xdr:colOff>
      <xdr:row>11</xdr:row>
      <xdr:rowOff>38100</xdr:rowOff>
    </xdr:from>
    <xdr:ext cx="466725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5AD300F-D137-4919-A55C-FFCD1913CEEF}"/>
            </a:ext>
          </a:extLst>
        </xdr:cNvPr>
        <xdr:cNvSpPr txBox="1"/>
      </xdr:nvSpPr>
      <xdr:spPr>
        <a:xfrm>
          <a:off x="10582274" y="2381250"/>
          <a:ext cx="466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7,</a:t>
          </a:r>
          <a:r>
            <a:rPr lang="ru-RU" sz="1100" strike="noStrike" baseline="0"/>
            <a:t>5</a:t>
          </a:r>
        </a:p>
      </xdr:txBody>
    </xdr:sp>
    <xdr:clientData/>
  </xdr:oneCellAnchor>
  <xdr:oneCellAnchor>
    <xdr:from>
      <xdr:col>17</xdr:col>
      <xdr:colOff>333375</xdr:colOff>
      <xdr:row>8</xdr:row>
      <xdr:rowOff>123825</xdr:rowOff>
    </xdr:from>
    <xdr:ext cx="47625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4AE8EFB-53C8-4952-9AD1-A8D70C308CED}"/>
            </a:ext>
          </a:extLst>
        </xdr:cNvPr>
        <xdr:cNvSpPr txBox="1"/>
      </xdr:nvSpPr>
      <xdr:spPr>
        <a:xfrm>
          <a:off x="10696575" y="1895475"/>
          <a:ext cx="4762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5,3,</a:t>
          </a:r>
          <a:r>
            <a:rPr lang="ru-RU" sz="1100"/>
            <a:t>2</a:t>
          </a:r>
        </a:p>
      </xdr:txBody>
    </xdr:sp>
    <xdr:clientData/>
  </xdr:oneCellAnchor>
  <xdr:oneCellAnchor>
    <xdr:from>
      <xdr:col>15</xdr:col>
      <xdr:colOff>476249</xdr:colOff>
      <xdr:row>6</xdr:row>
      <xdr:rowOff>47625</xdr:rowOff>
    </xdr:from>
    <xdr:ext cx="447675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E27452C-4FA0-4F6B-9D45-F99846991382}"/>
            </a:ext>
          </a:extLst>
        </xdr:cNvPr>
        <xdr:cNvSpPr txBox="1"/>
      </xdr:nvSpPr>
      <xdr:spPr>
        <a:xfrm>
          <a:off x="9620249" y="1438275"/>
          <a:ext cx="4476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2</a:t>
          </a:r>
          <a:r>
            <a:rPr lang="ru-RU" sz="1100"/>
            <a:t>,0</a:t>
          </a:r>
        </a:p>
      </xdr:txBody>
    </xdr:sp>
    <xdr:clientData/>
  </xdr:oneCellAnchor>
  <xdr:oneCellAnchor>
    <xdr:from>
      <xdr:col>14</xdr:col>
      <xdr:colOff>495300</xdr:colOff>
      <xdr:row>8</xdr:row>
      <xdr:rowOff>180975</xdr:rowOff>
    </xdr:from>
    <xdr:ext cx="351410" cy="43678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CD2F16F-4637-493D-AC71-216BF3FE2E2B}"/>
            </a:ext>
          </a:extLst>
        </xdr:cNvPr>
        <xdr:cNvSpPr txBox="1"/>
      </xdr:nvSpPr>
      <xdr:spPr>
        <a:xfrm>
          <a:off x="9363075" y="1952625"/>
          <a:ext cx="35141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5,</a:t>
          </a:r>
          <a:r>
            <a:rPr lang="ru-RU" sz="1100"/>
            <a:t>4</a:t>
          </a:r>
        </a:p>
      </xdr:txBody>
    </xdr:sp>
    <xdr:clientData/>
  </xdr:oneCellAnchor>
  <xdr:oneCellAnchor>
    <xdr:from>
      <xdr:col>15</xdr:col>
      <xdr:colOff>523875</xdr:colOff>
      <xdr:row>9</xdr:row>
      <xdr:rowOff>104775</xdr:rowOff>
    </xdr:from>
    <xdr:ext cx="351410" cy="43678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61C0F47-567A-46EF-9993-9330651A7B95}"/>
            </a:ext>
          </a:extLst>
        </xdr:cNvPr>
        <xdr:cNvSpPr txBox="1"/>
      </xdr:nvSpPr>
      <xdr:spPr>
        <a:xfrm>
          <a:off x="10001250" y="2066925"/>
          <a:ext cx="35141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4,</a:t>
          </a:r>
          <a:r>
            <a:rPr lang="ru-RU" sz="1100"/>
            <a:t>3</a:t>
          </a:r>
        </a:p>
      </xdr:txBody>
    </xdr:sp>
    <xdr:clientData/>
  </xdr:oneCellAnchor>
  <xdr:twoCellAnchor>
    <xdr:from>
      <xdr:col>15</xdr:col>
      <xdr:colOff>352425</xdr:colOff>
      <xdr:row>6</xdr:row>
      <xdr:rowOff>19050</xdr:rowOff>
    </xdr:from>
    <xdr:to>
      <xdr:col>15</xdr:col>
      <xdr:colOff>523875</xdr:colOff>
      <xdr:row>8</xdr:row>
      <xdr:rowOff>104775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4724834F-75B7-0FB5-8D15-5F3D58678766}"/>
            </a:ext>
          </a:extLst>
        </xdr:cNvPr>
        <xdr:cNvCxnSpPr/>
      </xdr:nvCxnSpPr>
      <xdr:spPr>
        <a:xfrm>
          <a:off x="9496425" y="1409700"/>
          <a:ext cx="171450" cy="4667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171450</xdr:colOff>
      <xdr:row>6</xdr:row>
      <xdr:rowOff>47625</xdr:rowOff>
    </xdr:from>
    <xdr:to>
      <xdr:col>16</xdr:col>
      <xdr:colOff>90487</xdr:colOff>
      <xdr:row>7</xdr:row>
      <xdr:rowOff>152400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4F9C5C65-B91E-A705-96E7-E63C1C32B234}"/>
            </a:ext>
          </a:extLst>
        </xdr:cNvPr>
        <xdr:cNvCxnSpPr>
          <a:endCxn id="26" idx="0"/>
        </xdr:cNvCxnSpPr>
      </xdr:nvCxnSpPr>
      <xdr:spPr>
        <a:xfrm flipV="1">
          <a:off x="9315450" y="1438275"/>
          <a:ext cx="528637" cy="2952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285750</xdr:colOff>
      <xdr:row>5</xdr:row>
      <xdr:rowOff>171450</xdr:rowOff>
    </xdr:from>
    <xdr:to>
      <xdr:col>13</xdr:col>
      <xdr:colOff>585787</xdr:colOff>
      <xdr:row>8</xdr:row>
      <xdr:rowOff>47625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BB5DB23A-F74F-4A97-9398-4239EEF6D3C5}"/>
            </a:ext>
          </a:extLst>
        </xdr:cNvPr>
        <xdr:cNvCxnSpPr/>
      </xdr:nvCxnSpPr>
      <xdr:spPr>
        <a:xfrm flipV="1">
          <a:off x="8543925" y="1371600"/>
          <a:ext cx="300037" cy="447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238125</xdr:colOff>
      <xdr:row>6</xdr:row>
      <xdr:rowOff>38100</xdr:rowOff>
    </xdr:from>
    <xdr:to>
      <xdr:col>14</xdr:col>
      <xdr:colOff>0</xdr:colOff>
      <xdr:row>7</xdr:row>
      <xdr:rowOff>171450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B3B5AFB5-FC54-4D61-8747-B9700FFEB8FA}"/>
            </a:ext>
          </a:extLst>
        </xdr:cNvPr>
        <xdr:cNvCxnSpPr/>
      </xdr:nvCxnSpPr>
      <xdr:spPr>
        <a:xfrm>
          <a:off x="8496300" y="1428750"/>
          <a:ext cx="371475" cy="323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333375</xdr:colOff>
      <xdr:row>11</xdr:row>
      <xdr:rowOff>47625</xdr:rowOff>
    </xdr:from>
    <xdr:to>
      <xdr:col>13</xdr:col>
      <xdr:colOff>252412</xdr:colOff>
      <xdr:row>12</xdr:row>
      <xdr:rowOff>152400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2713433F-E661-4CCB-817A-9AD9AEB1475E}"/>
            </a:ext>
          </a:extLst>
        </xdr:cNvPr>
        <xdr:cNvCxnSpPr/>
      </xdr:nvCxnSpPr>
      <xdr:spPr>
        <a:xfrm flipV="1">
          <a:off x="7981950" y="2390775"/>
          <a:ext cx="528637" cy="2952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471487</xdr:colOff>
      <xdr:row>11</xdr:row>
      <xdr:rowOff>9525</xdr:rowOff>
    </xdr:from>
    <xdr:to>
      <xdr:col>13</xdr:col>
      <xdr:colOff>123825</xdr:colOff>
      <xdr:row>13</xdr:row>
      <xdr:rowOff>19050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CC95E3A6-63AB-4B9D-A0AA-17BA5246C08F}"/>
            </a:ext>
          </a:extLst>
        </xdr:cNvPr>
        <xdr:cNvCxnSpPr/>
      </xdr:nvCxnSpPr>
      <xdr:spPr>
        <a:xfrm flipH="1" flipV="1">
          <a:off x="8120062" y="2352675"/>
          <a:ext cx="261938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514350</xdr:colOff>
      <xdr:row>14</xdr:row>
      <xdr:rowOff>114300</xdr:rowOff>
    </xdr:from>
    <xdr:to>
      <xdr:col>13</xdr:col>
      <xdr:colOff>433387</xdr:colOff>
      <xdr:row>16</xdr:row>
      <xdr:rowOff>28575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FBC84DF2-1672-4FCA-93BA-69768B8C5955}"/>
            </a:ext>
          </a:extLst>
        </xdr:cNvPr>
        <xdr:cNvCxnSpPr/>
      </xdr:nvCxnSpPr>
      <xdr:spPr>
        <a:xfrm flipV="1">
          <a:off x="8162925" y="3028950"/>
          <a:ext cx="528637" cy="2952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152400</xdr:colOff>
      <xdr:row>13</xdr:row>
      <xdr:rowOff>142875</xdr:rowOff>
    </xdr:from>
    <xdr:to>
      <xdr:col>13</xdr:col>
      <xdr:colOff>314325</xdr:colOff>
      <xdr:row>16</xdr:row>
      <xdr:rowOff>114300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F58F00DE-F4D5-4CB4-A045-EDF9480A0572}"/>
            </a:ext>
          </a:extLst>
        </xdr:cNvPr>
        <xdr:cNvCxnSpPr/>
      </xdr:nvCxnSpPr>
      <xdr:spPr>
        <a:xfrm flipH="1" flipV="1">
          <a:off x="8410575" y="2867025"/>
          <a:ext cx="161925" cy="542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14</xdr:row>
      <xdr:rowOff>66675</xdr:rowOff>
    </xdr:from>
    <xdr:to>
      <xdr:col>17</xdr:col>
      <xdr:colOff>419100</xdr:colOff>
      <xdr:row>16</xdr:row>
      <xdr:rowOff>66675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427587B3-B680-4AEC-BBD9-3513B395E865}"/>
            </a:ext>
          </a:extLst>
        </xdr:cNvPr>
        <xdr:cNvCxnSpPr/>
      </xdr:nvCxnSpPr>
      <xdr:spPr>
        <a:xfrm flipV="1">
          <a:off x="11020425" y="2981325"/>
          <a:ext cx="952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152400</xdr:colOff>
      <xdr:row>14</xdr:row>
      <xdr:rowOff>123825</xdr:rowOff>
    </xdr:from>
    <xdr:to>
      <xdr:col>17</xdr:col>
      <xdr:colOff>604837</xdr:colOff>
      <xdr:row>15</xdr:row>
      <xdr:rowOff>114300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C191E643-D57D-40EB-A01E-4F0A425DAE83}"/>
            </a:ext>
          </a:extLst>
        </xdr:cNvPr>
        <xdr:cNvCxnSpPr/>
      </xdr:nvCxnSpPr>
      <xdr:spPr>
        <a:xfrm>
          <a:off x="10848975" y="3038475"/>
          <a:ext cx="452437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184118</xdr:colOff>
      <xdr:row>7</xdr:row>
      <xdr:rowOff>117951</xdr:rowOff>
    </xdr:from>
    <xdr:ext cx="324127" cy="3678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BB509621-CBAA-B72E-BF0C-AE72C8C05686}"/>
                </a:ext>
              </a:extLst>
            </xdr:cNvPr>
            <xdr:cNvSpPr txBox="1"/>
          </xdr:nvSpPr>
          <xdr:spPr>
            <a:xfrm>
              <a:off x="2622518" y="1699101"/>
              <a:ext cx="324127" cy="367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BB509621-CBAA-B72E-BF0C-AE72C8C05686}"/>
                </a:ext>
              </a:extLst>
            </xdr:cNvPr>
            <xdr:cNvSpPr txBox="1"/>
          </xdr:nvSpPr>
          <xdr:spPr>
            <a:xfrm>
              <a:off x="2622518" y="1699101"/>
              <a:ext cx="324127" cy="367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▒𝑓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400050</xdr:colOff>
      <xdr:row>9</xdr:row>
      <xdr:rowOff>57150</xdr:rowOff>
    </xdr:from>
    <xdr:ext cx="314325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D24992B-0E6D-4C54-BD87-5241CB81B6E9}"/>
            </a:ext>
          </a:extLst>
        </xdr:cNvPr>
        <xdr:cNvSpPr txBox="1"/>
      </xdr:nvSpPr>
      <xdr:spPr>
        <a:xfrm>
          <a:off x="6829425" y="2019300"/>
          <a:ext cx="3143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strike="noStrike" baseline="0"/>
            <a:t>0</a:t>
          </a:r>
          <a:endParaRPr lang="ru-RU" sz="1100" strike="noStrike" baseline="0"/>
        </a:p>
      </xdr:txBody>
    </xdr:sp>
    <xdr:clientData/>
  </xdr:oneCellAnchor>
  <xdr:oneCellAnchor>
    <xdr:from>
      <xdr:col>12</xdr:col>
      <xdr:colOff>38100</xdr:colOff>
      <xdr:row>5</xdr:row>
      <xdr:rowOff>104775</xdr:rowOff>
    </xdr:from>
    <xdr:ext cx="295275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3598A76-5242-4E4A-A20C-E6B94E08573D}"/>
            </a:ext>
          </a:extLst>
        </xdr:cNvPr>
        <xdr:cNvSpPr txBox="1"/>
      </xdr:nvSpPr>
      <xdr:spPr>
        <a:xfrm>
          <a:off x="7686675" y="1304925"/>
          <a:ext cx="2952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strike="noStrike" baseline="0"/>
            <a:t>2</a:t>
          </a:r>
          <a:endParaRPr lang="ru-RU" sz="1100" strike="noStrike" baseline="0"/>
        </a:p>
      </xdr:txBody>
    </xdr:sp>
    <xdr:clientData/>
  </xdr:oneCellAnchor>
  <xdr:oneCellAnchor>
    <xdr:from>
      <xdr:col>2</xdr:col>
      <xdr:colOff>161925</xdr:colOff>
      <xdr:row>15</xdr:row>
      <xdr:rowOff>142875</xdr:rowOff>
    </xdr:from>
    <xdr:ext cx="324127" cy="3678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6A4913AB-AF6D-43FC-81AB-8FAB9D415FD3}"/>
                </a:ext>
              </a:extLst>
            </xdr:cNvPr>
            <xdr:cNvSpPr txBox="1"/>
          </xdr:nvSpPr>
          <xdr:spPr>
            <a:xfrm>
              <a:off x="1381125" y="3248025"/>
              <a:ext cx="324127" cy="367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6A4913AB-AF6D-43FC-81AB-8FAB9D415FD3}"/>
                </a:ext>
              </a:extLst>
            </xdr:cNvPr>
            <xdr:cNvSpPr txBox="1"/>
          </xdr:nvSpPr>
          <xdr:spPr>
            <a:xfrm>
              <a:off x="1381125" y="3248025"/>
              <a:ext cx="324127" cy="3678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▒𝐴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13</xdr:row>
      <xdr:rowOff>57150</xdr:rowOff>
    </xdr:from>
    <xdr:to>
      <xdr:col>3</xdr:col>
      <xdr:colOff>485775</xdr:colOff>
      <xdr:row>16</xdr:row>
      <xdr:rowOff>19050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3B1834EB-0370-3D01-45E4-DDBB4DC91591}"/>
            </a:ext>
          </a:extLst>
        </xdr:cNvPr>
        <xdr:cNvSpPr/>
      </xdr:nvSpPr>
      <xdr:spPr>
        <a:xfrm>
          <a:off x="1790700" y="253365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3</xdr:col>
      <xdr:colOff>409055</xdr:colOff>
      <xdr:row>11</xdr:row>
      <xdr:rowOff>9525</xdr:rowOff>
    </xdr:from>
    <xdr:to>
      <xdr:col>5</xdr:col>
      <xdr:colOff>85725</xdr:colOff>
      <xdr:row>13</xdr:row>
      <xdr:rowOff>135265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335FF8A7-6FC6-818B-78AD-EFB49EA030A8}"/>
            </a:ext>
          </a:extLst>
        </xdr:cNvPr>
        <xdr:cNvCxnSpPr>
          <a:stCxn id="2" idx="7"/>
          <a:endCxn id="10" idx="2"/>
        </xdr:cNvCxnSpPr>
      </xdr:nvCxnSpPr>
      <xdr:spPr>
        <a:xfrm flipV="1">
          <a:off x="2237855" y="2105025"/>
          <a:ext cx="895870" cy="506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38100</xdr:colOff>
      <xdr:row>11</xdr:row>
      <xdr:rowOff>66675</xdr:rowOff>
    </xdr:from>
    <xdr:ext cx="26629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019B92-6761-74B5-ACC5-16E3C9E30E03}"/>
            </a:ext>
          </a:extLst>
        </xdr:cNvPr>
        <xdr:cNvSpPr txBox="1"/>
      </xdr:nvSpPr>
      <xdr:spPr>
        <a:xfrm>
          <a:off x="2476500" y="2162175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А</a:t>
          </a:r>
        </a:p>
      </xdr:txBody>
    </xdr:sp>
    <xdr:clientData/>
  </xdr:oneCellAnchor>
  <xdr:oneCellAnchor>
    <xdr:from>
      <xdr:col>4</xdr:col>
      <xdr:colOff>228600</xdr:colOff>
      <xdr:row>25</xdr:row>
      <xdr:rowOff>104775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5A99F7C-AE34-47D1-6BB8-357D482491B2}"/>
            </a:ext>
          </a:extLst>
        </xdr:cNvPr>
        <xdr:cNvSpPr txBox="1"/>
      </xdr:nvSpPr>
      <xdr:spPr>
        <a:xfrm>
          <a:off x="2667000" y="487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11</xdr:col>
      <xdr:colOff>180975</xdr:colOff>
      <xdr:row>7</xdr:row>
      <xdr:rowOff>180975</xdr:rowOff>
    </xdr:from>
    <xdr:to>
      <xdr:col>12</xdr:col>
      <xdr:colOff>95250</xdr:colOff>
      <xdr:row>10</xdr:row>
      <xdr:rowOff>142875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8D935DBE-755F-5528-52F8-DE1D83772F78}"/>
            </a:ext>
          </a:extLst>
        </xdr:cNvPr>
        <xdr:cNvSpPr/>
      </xdr:nvSpPr>
      <xdr:spPr>
        <a:xfrm>
          <a:off x="6886575" y="1514475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409055</xdr:colOff>
      <xdr:row>15</xdr:row>
      <xdr:rowOff>131435</xdr:rowOff>
    </xdr:from>
    <xdr:to>
      <xdr:col>6</xdr:col>
      <xdr:colOff>448195</xdr:colOff>
      <xdr:row>25</xdr:row>
      <xdr:rowOff>1915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02B52650-05EC-0652-FBBA-EE050D17CF94}"/>
            </a:ext>
          </a:extLst>
        </xdr:cNvPr>
        <xdr:cNvCxnSpPr>
          <a:stCxn id="2" idx="5"/>
          <a:endCxn id="114" idx="1"/>
        </xdr:cNvCxnSpPr>
      </xdr:nvCxnSpPr>
      <xdr:spPr>
        <a:xfrm>
          <a:off x="2237855" y="2988935"/>
          <a:ext cx="1867940" cy="17850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9</xdr:row>
      <xdr:rowOff>123825</xdr:rowOff>
    </xdr:from>
    <xdr:to>
      <xdr:col>6</xdr:col>
      <xdr:colOff>0</xdr:colOff>
      <xdr:row>12</xdr:row>
      <xdr:rowOff>85725</xdr:rowOff>
    </xdr:to>
    <xdr:sp macro="" textlink="">
      <xdr:nvSpPr>
        <xdr:cNvPr id="10" name="Овал 9">
          <a:extLst>
            <a:ext uri="{FF2B5EF4-FFF2-40B4-BE49-F238E27FC236}">
              <a16:creationId xmlns:a16="http://schemas.microsoft.com/office/drawing/2014/main" id="{B7C97652-FA9B-C96F-DC6D-0E87EC2F4726}"/>
            </a:ext>
          </a:extLst>
        </xdr:cNvPr>
        <xdr:cNvSpPr/>
      </xdr:nvSpPr>
      <xdr:spPr>
        <a:xfrm>
          <a:off x="3133725" y="1838325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</a:t>
          </a:r>
        </a:p>
      </xdr:txBody>
    </xdr:sp>
    <xdr:clientData/>
  </xdr:twoCellAnchor>
  <xdr:oneCellAnchor>
    <xdr:from>
      <xdr:col>4</xdr:col>
      <xdr:colOff>142874</xdr:colOff>
      <xdr:row>16</xdr:row>
      <xdr:rowOff>95249</xdr:rowOff>
    </xdr:from>
    <xdr:ext cx="295275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167DD44-BF48-1539-FC21-757BD0B03BC8}"/>
            </a:ext>
          </a:extLst>
        </xdr:cNvPr>
        <xdr:cNvSpPr txBox="1"/>
      </xdr:nvSpPr>
      <xdr:spPr>
        <a:xfrm>
          <a:off x="2581274" y="3143249"/>
          <a:ext cx="2952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И</a:t>
          </a:r>
        </a:p>
      </xdr:txBody>
    </xdr:sp>
    <xdr:clientData/>
  </xdr:oneCellAnchor>
  <xdr:twoCellAnchor>
    <xdr:from>
      <xdr:col>5</xdr:col>
      <xdr:colOff>532880</xdr:colOff>
      <xdr:row>7</xdr:row>
      <xdr:rowOff>57150</xdr:rowOff>
    </xdr:from>
    <xdr:to>
      <xdr:col>7</xdr:col>
      <xdr:colOff>428625</xdr:colOff>
      <xdr:row>10</xdr:row>
      <xdr:rowOff>11440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37983814-360D-75B7-129D-DE660F82DB44}"/>
            </a:ext>
          </a:extLst>
        </xdr:cNvPr>
        <xdr:cNvCxnSpPr>
          <a:stCxn id="10" idx="7"/>
          <a:endCxn id="25" idx="2"/>
        </xdr:cNvCxnSpPr>
      </xdr:nvCxnSpPr>
      <xdr:spPr>
        <a:xfrm flipV="1">
          <a:off x="3580880" y="1390650"/>
          <a:ext cx="1114945" cy="5257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532880</xdr:colOff>
      <xdr:row>11</xdr:row>
      <xdr:rowOff>180975</xdr:rowOff>
    </xdr:from>
    <xdr:to>
      <xdr:col>7</xdr:col>
      <xdr:colOff>495300</xdr:colOff>
      <xdr:row>12</xdr:row>
      <xdr:rowOff>7610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36EBE002-676E-FD64-DDE7-66DCF9C595AD}"/>
            </a:ext>
          </a:extLst>
        </xdr:cNvPr>
        <xdr:cNvCxnSpPr>
          <a:stCxn id="10" idx="5"/>
          <a:endCxn id="27" idx="2"/>
        </xdr:cNvCxnSpPr>
      </xdr:nvCxnSpPr>
      <xdr:spPr>
        <a:xfrm flipV="1">
          <a:off x="3580880" y="2276475"/>
          <a:ext cx="1181620" cy="171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371475</xdr:colOff>
      <xdr:row>25</xdr:row>
      <xdr:rowOff>133350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EDC8726-51DF-B7CA-A7B0-DE73F7957704}"/>
            </a:ext>
          </a:extLst>
        </xdr:cNvPr>
        <xdr:cNvSpPr txBox="1"/>
      </xdr:nvSpPr>
      <xdr:spPr>
        <a:xfrm>
          <a:off x="3419475" y="4905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7</xdr:col>
      <xdr:colOff>209030</xdr:colOff>
      <xdr:row>26</xdr:row>
      <xdr:rowOff>188585</xdr:rowOff>
    </xdr:from>
    <xdr:to>
      <xdr:col>10</xdr:col>
      <xdr:colOff>400050</xdr:colOff>
      <xdr:row>28</xdr:row>
      <xdr:rowOff>123825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ACBFB86B-DBAC-14A6-84F4-6CD2E40A26DD}"/>
            </a:ext>
          </a:extLst>
        </xdr:cNvPr>
        <xdr:cNvCxnSpPr>
          <a:stCxn id="114" idx="5"/>
          <a:endCxn id="116" idx="2"/>
        </xdr:cNvCxnSpPr>
      </xdr:nvCxnSpPr>
      <xdr:spPr>
        <a:xfrm>
          <a:off x="4476230" y="5151110"/>
          <a:ext cx="2019820" cy="316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133350</xdr:colOff>
      <xdr:row>8</xdr:row>
      <xdr:rowOff>0</xdr:rowOff>
    </xdr:from>
    <xdr:ext cx="26629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619C094-EF54-9E19-F0C4-59876BF3C9D0}"/>
            </a:ext>
          </a:extLst>
        </xdr:cNvPr>
        <xdr:cNvSpPr txBox="1"/>
      </xdr:nvSpPr>
      <xdr:spPr>
        <a:xfrm>
          <a:off x="3790950" y="1524000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Б</a:t>
          </a:r>
        </a:p>
      </xdr:txBody>
    </xdr:sp>
    <xdr:clientData/>
  </xdr:oneCellAnchor>
  <xdr:oneCellAnchor>
    <xdr:from>
      <xdr:col>6</xdr:col>
      <xdr:colOff>276225</xdr:colOff>
      <xdr:row>10</xdr:row>
      <xdr:rowOff>161925</xdr:rowOff>
    </xdr:from>
    <xdr:ext cx="26629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363D7E4-E766-BAC7-513B-D59D4220BE4E}"/>
            </a:ext>
          </a:extLst>
        </xdr:cNvPr>
        <xdr:cNvSpPr txBox="1"/>
      </xdr:nvSpPr>
      <xdr:spPr>
        <a:xfrm>
          <a:off x="3933825" y="2066925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В</a:t>
          </a:r>
        </a:p>
      </xdr:txBody>
    </xdr:sp>
    <xdr:clientData/>
  </xdr:oneCellAnchor>
  <xdr:twoCellAnchor>
    <xdr:from>
      <xdr:col>7</xdr:col>
      <xdr:colOff>428625</xdr:colOff>
      <xdr:row>5</xdr:row>
      <xdr:rowOff>171450</xdr:rowOff>
    </xdr:from>
    <xdr:to>
      <xdr:col>8</xdr:col>
      <xdr:colOff>342900</xdr:colOff>
      <xdr:row>8</xdr:row>
      <xdr:rowOff>133350</xdr:rowOff>
    </xdr:to>
    <xdr:sp macro="" textlink="">
      <xdr:nvSpPr>
        <xdr:cNvPr id="25" name="Овал 24">
          <a:extLst>
            <a:ext uri="{FF2B5EF4-FFF2-40B4-BE49-F238E27FC236}">
              <a16:creationId xmlns:a16="http://schemas.microsoft.com/office/drawing/2014/main" id="{C015C6E5-9FF3-5E02-6A0B-1B168F75647C}"/>
            </a:ext>
          </a:extLst>
        </xdr:cNvPr>
        <xdr:cNvSpPr/>
      </xdr:nvSpPr>
      <xdr:spPr>
        <a:xfrm>
          <a:off x="4695825" y="112395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495300</xdr:colOff>
      <xdr:row>10</xdr:row>
      <xdr:rowOff>104775</xdr:rowOff>
    </xdr:from>
    <xdr:to>
      <xdr:col>8</xdr:col>
      <xdr:colOff>409575</xdr:colOff>
      <xdr:row>13</xdr:row>
      <xdr:rowOff>66675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97BE296B-1000-A555-60EB-4E66A3B2EE3C}"/>
            </a:ext>
          </a:extLst>
        </xdr:cNvPr>
        <xdr:cNvSpPr/>
      </xdr:nvSpPr>
      <xdr:spPr>
        <a:xfrm>
          <a:off x="4762500" y="2009775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80963</xdr:colOff>
      <xdr:row>8</xdr:row>
      <xdr:rowOff>133350</xdr:rowOff>
    </xdr:from>
    <xdr:to>
      <xdr:col>8</xdr:col>
      <xdr:colOff>147638</xdr:colOff>
      <xdr:row>10</xdr:row>
      <xdr:rowOff>104775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9C14359D-1747-05AA-0849-167F4F4ACDD7}"/>
            </a:ext>
          </a:extLst>
        </xdr:cNvPr>
        <xdr:cNvCxnSpPr>
          <a:cxnSpLocks/>
          <a:stCxn id="25" idx="4"/>
          <a:endCxn id="27" idx="0"/>
        </xdr:cNvCxnSpPr>
      </xdr:nvCxnSpPr>
      <xdr:spPr>
        <a:xfrm>
          <a:off x="4957763" y="1657350"/>
          <a:ext cx="66675" cy="35242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409575</xdr:colOff>
      <xdr:row>9</xdr:row>
      <xdr:rowOff>66675</xdr:rowOff>
    </xdr:from>
    <xdr:to>
      <xdr:col>11</xdr:col>
      <xdr:colOff>180975</xdr:colOff>
      <xdr:row>11</xdr:row>
      <xdr:rowOff>180975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E1FB7C78-0FFC-95DA-9A9E-678E02A30B6D}"/>
            </a:ext>
          </a:extLst>
        </xdr:cNvPr>
        <xdr:cNvCxnSpPr>
          <a:stCxn id="27" idx="6"/>
          <a:endCxn id="8" idx="2"/>
        </xdr:cNvCxnSpPr>
      </xdr:nvCxnSpPr>
      <xdr:spPr>
        <a:xfrm flipV="1">
          <a:off x="5286375" y="1781175"/>
          <a:ext cx="160020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381000</xdr:colOff>
      <xdr:row>9</xdr:row>
      <xdr:rowOff>114300</xdr:rowOff>
    </xdr:from>
    <xdr:ext cx="245260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BA03EAA-3DE5-1B33-322F-EB0C29F95816}"/>
            </a:ext>
          </a:extLst>
        </xdr:cNvPr>
        <xdr:cNvSpPr txBox="1"/>
      </xdr:nvSpPr>
      <xdr:spPr>
        <a:xfrm>
          <a:off x="5867400" y="1828800"/>
          <a:ext cx="2452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Г</a:t>
          </a:r>
        </a:p>
      </xdr:txBody>
    </xdr:sp>
    <xdr:clientData/>
  </xdr:oneCellAnchor>
  <xdr:twoCellAnchor>
    <xdr:from>
      <xdr:col>6</xdr:col>
      <xdr:colOff>142875</xdr:colOff>
      <xdr:row>16</xdr:row>
      <xdr:rowOff>38100</xdr:rowOff>
    </xdr:from>
    <xdr:to>
      <xdr:col>7</xdr:col>
      <xdr:colOff>57150</xdr:colOff>
      <xdr:row>19</xdr:row>
      <xdr:rowOff>0</xdr:rowOff>
    </xdr:to>
    <xdr:sp macro="" textlink="">
      <xdr:nvSpPr>
        <xdr:cNvPr id="38" name="Овал 37">
          <a:extLst>
            <a:ext uri="{FF2B5EF4-FFF2-40B4-BE49-F238E27FC236}">
              <a16:creationId xmlns:a16="http://schemas.microsoft.com/office/drawing/2014/main" id="{AB8A7C34-D5B4-349A-A6C5-9EDDA3C5C2BF}"/>
            </a:ext>
          </a:extLst>
        </xdr:cNvPr>
        <xdr:cNvSpPr/>
      </xdr:nvSpPr>
      <xdr:spPr>
        <a:xfrm>
          <a:off x="3800475" y="308610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347663</xdr:colOff>
      <xdr:row>12</xdr:row>
      <xdr:rowOff>85725</xdr:rowOff>
    </xdr:from>
    <xdr:to>
      <xdr:col>6</xdr:col>
      <xdr:colOff>219595</xdr:colOff>
      <xdr:row>16</xdr:row>
      <xdr:rowOff>116215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AA567D1B-C074-32E5-F22E-807FFF8E4E63}"/>
            </a:ext>
          </a:extLst>
        </xdr:cNvPr>
        <xdr:cNvCxnSpPr>
          <a:stCxn id="10" idx="4"/>
          <a:endCxn id="38" idx="1"/>
        </xdr:cNvCxnSpPr>
      </xdr:nvCxnSpPr>
      <xdr:spPr>
        <a:xfrm>
          <a:off x="3395663" y="2371725"/>
          <a:ext cx="481532" cy="792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38100</xdr:colOff>
      <xdr:row>13</xdr:row>
      <xdr:rowOff>114300</xdr:rowOff>
    </xdr:from>
    <xdr:ext cx="275525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0BCF142-CB95-3182-80DC-B7478DC7DC7D}"/>
            </a:ext>
          </a:extLst>
        </xdr:cNvPr>
        <xdr:cNvSpPr txBox="1"/>
      </xdr:nvSpPr>
      <xdr:spPr>
        <a:xfrm>
          <a:off x="3695700" y="2590800"/>
          <a:ext cx="275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Д</a:t>
          </a:r>
        </a:p>
      </xdr:txBody>
    </xdr:sp>
    <xdr:clientData/>
  </xdr:oneCellAnchor>
  <xdr:twoCellAnchor>
    <xdr:from>
      <xdr:col>6</xdr:col>
      <xdr:colOff>404813</xdr:colOff>
      <xdr:row>8</xdr:row>
      <xdr:rowOff>55235</xdr:rowOff>
    </xdr:from>
    <xdr:to>
      <xdr:col>7</xdr:col>
      <xdr:colOff>505345</xdr:colOff>
      <xdr:row>16</xdr:row>
      <xdr:rowOff>38100</xdr:rowOff>
    </xdr:to>
    <xdr:cxnSp macro="">
      <xdr:nvCxnSpPr>
        <xdr:cNvPr id="44" name="Прямая со стрелкой 43">
          <a:extLst>
            <a:ext uri="{FF2B5EF4-FFF2-40B4-BE49-F238E27FC236}">
              <a16:creationId xmlns:a16="http://schemas.microsoft.com/office/drawing/2014/main" id="{A2AF1098-2CEE-669D-8ACA-97F28019742A}"/>
            </a:ext>
          </a:extLst>
        </xdr:cNvPr>
        <xdr:cNvCxnSpPr>
          <a:cxnSpLocks/>
          <a:stCxn id="25" idx="3"/>
          <a:endCxn id="38" idx="0"/>
        </xdr:cNvCxnSpPr>
      </xdr:nvCxnSpPr>
      <xdr:spPr>
        <a:xfrm flipH="1">
          <a:off x="4062413" y="1579235"/>
          <a:ext cx="710132" cy="150686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17</xdr:row>
      <xdr:rowOff>19050</xdr:rowOff>
    </xdr:from>
    <xdr:to>
      <xdr:col>8</xdr:col>
      <xdr:colOff>400050</xdr:colOff>
      <xdr:row>17</xdr:row>
      <xdr:rowOff>114300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2A16FFB9-0A6E-B311-FD81-8FF0FBAE6113}"/>
            </a:ext>
          </a:extLst>
        </xdr:cNvPr>
        <xdr:cNvCxnSpPr>
          <a:stCxn id="38" idx="6"/>
          <a:endCxn id="64" idx="2"/>
        </xdr:cNvCxnSpPr>
      </xdr:nvCxnSpPr>
      <xdr:spPr>
        <a:xfrm flipV="1">
          <a:off x="4324350" y="3257550"/>
          <a:ext cx="95250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447675</xdr:colOff>
      <xdr:row>15</xdr:row>
      <xdr:rowOff>161925</xdr:rowOff>
    </xdr:from>
    <xdr:ext cx="2535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DB3057E-FA38-2579-A5B7-3E20251A5FC7}"/>
            </a:ext>
          </a:extLst>
        </xdr:cNvPr>
        <xdr:cNvSpPr txBox="1"/>
      </xdr:nvSpPr>
      <xdr:spPr>
        <a:xfrm>
          <a:off x="4714875" y="3019425"/>
          <a:ext cx="2535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Е</a:t>
          </a:r>
        </a:p>
      </xdr:txBody>
    </xdr:sp>
    <xdr:clientData/>
  </xdr:oneCellAnchor>
  <xdr:twoCellAnchor>
    <xdr:from>
      <xdr:col>6</xdr:col>
      <xdr:colOff>590030</xdr:colOff>
      <xdr:row>12</xdr:row>
      <xdr:rowOff>179060</xdr:rowOff>
    </xdr:from>
    <xdr:to>
      <xdr:col>7</xdr:col>
      <xdr:colOff>572020</xdr:colOff>
      <xdr:row>16</xdr:row>
      <xdr:rowOff>116215</xdr:rowOff>
    </xdr:to>
    <xdr:cxnSp macro="">
      <xdr:nvCxnSpPr>
        <xdr:cNvPr id="51" name="Прямая со стрелкой 50">
          <a:extLst>
            <a:ext uri="{FF2B5EF4-FFF2-40B4-BE49-F238E27FC236}">
              <a16:creationId xmlns:a16="http://schemas.microsoft.com/office/drawing/2014/main" id="{54C6783B-7588-4D3A-8792-5CA541FABC1D}"/>
            </a:ext>
          </a:extLst>
        </xdr:cNvPr>
        <xdr:cNvCxnSpPr>
          <a:cxnSpLocks/>
          <a:stCxn id="27" idx="3"/>
          <a:endCxn id="38" idx="7"/>
        </xdr:cNvCxnSpPr>
      </xdr:nvCxnSpPr>
      <xdr:spPr>
        <a:xfrm flipH="1">
          <a:off x="4247630" y="2465060"/>
          <a:ext cx="591590" cy="69915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590030</xdr:colOff>
      <xdr:row>18</xdr:row>
      <xdr:rowOff>112385</xdr:rowOff>
    </xdr:from>
    <xdr:to>
      <xdr:col>11</xdr:col>
      <xdr:colOff>467245</xdr:colOff>
      <xdr:row>23</xdr:row>
      <xdr:rowOff>106690</xdr:rowOff>
    </xdr:to>
    <xdr:cxnSp macro="">
      <xdr:nvCxnSpPr>
        <xdr:cNvPr id="54" name="Прямая со стрелкой 53">
          <a:extLst>
            <a:ext uri="{FF2B5EF4-FFF2-40B4-BE49-F238E27FC236}">
              <a16:creationId xmlns:a16="http://schemas.microsoft.com/office/drawing/2014/main" id="{41959C9B-0ECC-9FBF-5DE9-F6361004260F}"/>
            </a:ext>
          </a:extLst>
        </xdr:cNvPr>
        <xdr:cNvCxnSpPr>
          <a:stCxn id="38" idx="5"/>
          <a:endCxn id="57" idx="1"/>
        </xdr:cNvCxnSpPr>
      </xdr:nvCxnSpPr>
      <xdr:spPr>
        <a:xfrm>
          <a:off x="4247630" y="3541385"/>
          <a:ext cx="2925215" cy="9563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85725</xdr:colOff>
      <xdr:row>20</xdr:row>
      <xdr:rowOff>28575</xdr:rowOff>
    </xdr:from>
    <xdr:ext cx="272575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6DE1F07-3DF2-66D2-9734-081E865E74F1}"/>
            </a:ext>
          </a:extLst>
        </xdr:cNvPr>
        <xdr:cNvSpPr txBox="1"/>
      </xdr:nvSpPr>
      <xdr:spPr>
        <a:xfrm>
          <a:off x="4962525" y="3838575"/>
          <a:ext cx="27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Н</a:t>
          </a:r>
        </a:p>
      </xdr:txBody>
    </xdr:sp>
    <xdr:clientData/>
  </xdr:oneCellAnchor>
  <xdr:twoCellAnchor>
    <xdr:from>
      <xdr:col>11</xdr:col>
      <xdr:colOff>390525</xdr:colOff>
      <xdr:row>23</xdr:row>
      <xdr:rowOff>28575</xdr:rowOff>
    </xdr:from>
    <xdr:to>
      <xdr:col>12</xdr:col>
      <xdr:colOff>304800</xdr:colOff>
      <xdr:row>25</xdr:row>
      <xdr:rowOff>180975</xdr:rowOff>
    </xdr:to>
    <xdr:sp macro="" textlink="">
      <xdr:nvSpPr>
        <xdr:cNvPr id="57" name="Овал 56">
          <a:extLst>
            <a:ext uri="{FF2B5EF4-FFF2-40B4-BE49-F238E27FC236}">
              <a16:creationId xmlns:a16="http://schemas.microsoft.com/office/drawing/2014/main" id="{79ACCCC5-14A7-407D-5F32-A85A1DA431E1}"/>
            </a:ext>
          </a:extLst>
        </xdr:cNvPr>
        <xdr:cNvSpPr/>
      </xdr:nvSpPr>
      <xdr:spPr>
        <a:xfrm>
          <a:off x="7096125" y="441960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332855</xdr:colOff>
      <xdr:row>12</xdr:row>
      <xdr:rowOff>179060</xdr:rowOff>
    </xdr:from>
    <xdr:to>
      <xdr:col>8</xdr:col>
      <xdr:colOff>476770</xdr:colOff>
      <xdr:row>16</xdr:row>
      <xdr:rowOff>20965</xdr:rowOff>
    </xdr:to>
    <xdr:cxnSp macro="">
      <xdr:nvCxnSpPr>
        <xdr:cNvPr id="58" name="Прямая со стрелкой 57">
          <a:extLst>
            <a:ext uri="{FF2B5EF4-FFF2-40B4-BE49-F238E27FC236}">
              <a16:creationId xmlns:a16="http://schemas.microsoft.com/office/drawing/2014/main" id="{50B30E3B-B53A-36BC-A23A-66DB18063790}"/>
            </a:ext>
          </a:extLst>
        </xdr:cNvPr>
        <xdr:cNvCxnSpPr>
          <a:cxnSpLocks/>
          <a:stCxn id="27" idx="5"/>
          <a:endCxn id="64" idx="1"/>
        </xdr:cNvCxnSpPr>
      </xdr:nvCxnSpPr>
      <xdr:spPr>
        <a:xfrm>
          <a:off x="5209655" y="2465060"/>
          <a:ext cx="143915" cy="60390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314325</xdr:colOff>
      <xdr:row>16</xdr:row>
      <xdr:rowOff>171450</xdr:rowOff>
    </xdr:from>
    <xdr:to>
      <xdr:col>11</xdr:col>
      <xdr:colOff>285750</xdr:colOff>
      <xdr:row>17</xdr:row>
      <xdr:rowOff>19050</xdr:rowOff>
    </xdr:to>
    <xdr:cxnSp macro="">
      <xdr:nvCxnSpPr>
        <xdr:cNvPr id="61" name="Прямая со стрелкой 60">
          <a:extLst>
            <a:ext uri="{FF2B5EF4-FFF2-40B4-BE49-F238E27FC236}">
              <a16:creationId xmlns:a16="http://schemas.microsoft.com/office/drawing/2014/main" id="{8455FE89-4AC2-3E29-36CC-B8CC1B6CA434}"/>
            </a:ext>
          </a:extLst>
        </xdr:cNvPr>
        <xdr:cNvCxnSpPr>
          <a:stCxn id="64" idx="6"/>
          <a:endCxn id="65" idx="2"/>
        </xdr:cNvCxnSpPr>
      </xdr:nvCxnSpPr>
      <xdr:spPr>
        <a:xfrm flipV="1">
          <a:off x="5800725" y="3219450"/>
          <a:ext cx="1190625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9525</xdr:colOff>
      <xdr:row>15</xdr:row>
      <xdr:rowOff>152400</xdr:rowOff>
    </xdr:from>
    <xdr:ext cx="297646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5B0CB62-7726-F8A2-5B30-52BA84C6A30F}"/>
            </a:ext>
          </a:extLst>
        </xdr:cNvPr>
        <xdr:cNvSpPr txBox="1"/>
      </xdr:nvSpPr>
      <xdr:spPr>
        <a:xfrm>
          <a:off x="6105525" y="3009900"/>
          <a:ext cx="2976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Ж</a:t>
          </a:r>
        </a:p>
      </xdr:txBody>
    </xdr:sp>
    <xdr:clientData/>
  </xdr:oneCellAnchor>
  <xdr:twoCellAnchor>
    <xdr:from>
      <xdr:col>8</xdr:col>
      <xdr:colOff>400050</xdr:colOff>
      <xdr:row>15</xdr:row>
      <xdr:rowOff>133350</xdr:rowOff>
    </xdr:from>
    <xdr:to>
      <xdr:col>9</xdr:col>
      <xdr:colOff>314325</xdr:colOff>
      <xdr:row>18</xdr:row>
      <xdr:rowOff>95250</xdr:rowOff>
    </xdr:to>
    <xdr:sp macro="" textlink="">
      <xdr:nvSpPr>
        <xdr:cNvPr id="64" name="Овал 63">
          <a:extLst>
            <a:ext uri="{FF2B5EF4-FFF2-40B4-BE49-F238E27FC236}">
              <a16:creationId xmlns:a16="http://schemas.microsoft.com/office/drawing/2014/main" id="{2099F1A5-8AC4-9259-9F18-A9201FA245B4}"/>
            </a:ext>
          </a:extLst>
        </xdr:cNvPr>
        <xdr:cNvSpPr/>
      </xdr:nvSpPr>
      <xdr:spPr>
        <a:xfrm>
          <a:off x="5276850" y="299085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285750</xdr:colOff>
      <xdr:row>15</xdr:row>
      <xdr:rowOff>95250</xdr:rowOff>
    </xdr:from>
    <xdr:to>
      <xdr:col>12</xdr:col>
      <xdr:colOff>200025</xdr:colOff>
      <xdr:row>18</xdr:row>
      <xdr:rowOff>57150</xdr:rowOff>
    </xdr:to>
    <xdr:sp macro="" textlink="">
      <xdr:nvSpPr>
        <xdr:cNvPr id="65" name="Овал 64">
          <a:extLst>
            <a:ext uri="{FF2B5EF4-FFF2-40B4-BE49-F238E27FC236}">
              <a16:creationId xmlns:a16="http://schemas.microsoft.com/office/drawing/2014/main" id="{5D10141E-2E9C-481F-D4E3-877137D29885}"/>
            </a:ext>
          </a:extLst>
        </xdr:cNvPr>
        <xdr:cNvSpPr/>
      </xdr:nvSpPr>
      <xdr:spPr>
        <a:xfrm>
          <a:off x="6991350" y="295275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237605</xdr:colOff>
      <xdr:row>18</xdr:row>
      <xdr:rowOff>17135</xdr:rowOff>
    </xdr:from>
    <xdr:to>
      <xdr:col>10</xdr:col>
      <xdr:colOff>600075</xdr:colOff>
      <xdr:row>20</xdr:row>
      <xdr:rowOff>152400</xdr:rowOff>
    </xdr:to>
    <xdr:cxnSp macro="">
      <xdr:nvCxnSpPr>
        <xdr:cNvPr id="66" name="Прямая со стрелкой 65">
          <a:extLst>
            <a:ext uri="{FF2B5EF4-FFF2-40B4-BE49-F238E27FC236}">
              <a16:creationId xmlns:a16="http://schemas.microsoft.com/office/drawing/2014/main" id="{3B2DF98E-7FFB-6735-AB6A-89C8522C4E1F}"/>
            </a:ext>
          </a:extLst>
        </xdr:cNvPr>
        <xdr:cNvCxnSpPr>
          <a:cxnSpLocks/>
          <a:stCxn id="64" idx="5"/>
          <a:endCxn id="69" idx="2"/>
        </xdr:cNvCxnSpPr>
      </xdr:nvCxnSpPr>
      <xdr:spPr>
        <a:xfrm>
          <a:off x="5724005" y="3446135"/>
          <a:ext cx="972070" cy="5162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571500</xdr:colOff>
      <xdr:row>18</xdr:row>
      <xdr:rowOff>38100</xdr:rowOff>
    </xdr:from>
    <xdr:ext cx="251479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430DDBB-1D5B-03C7-B5D4-FE5389F573FA}"/>
            </a:ext>
          </a:extLst>
        </xdr:cNvPr>
        <xdr:cNvSpPr txBox="1"/>
      </xdr:nvSpPr>
      <xdr:spPr>
        <a:xfrm>
          <a:off x="6057900" y="3467100"/>
          <a:ext cx="2514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З</a:t>
          </a:r>
        </a:p>
      </xdr:txBody>
    </xdr:sp>
    <xdr:clientData/>
  </xdr:oneCellAnchor>
  <xdr:twoCellAnchor>
    <xdr:from>
      <xdr:col>10</xdr:col>
      <xdr:colOff>600075</xdr:colOff>
      <xdr:row>19</xdr:row>
      <xdr:rowOff>76200</xdr:rowOff>
    </xdr:from>
    <xdr:to>
      <xdr:col>11</xdr:col>
      <xdr:colOff>514350</xdr:colOff>
      <xdr:row>22</xdr:row>
      <xdr:rowOff>28575</xdr:rowOff>
    </xdr:to>
    <xdr:sp macro="" textlink="">
      <xdr:nvSpPr>
        <xdr:cNvPr id="69" name="Овал 68">
          <a:extLst>
            <a:ext uri="{FF2B5EF4-FFF2-40B4-BE49-F238E27FC236}">
              <a16:creationId xmlns:a16="http://schemas.microsoft.com/office/drawing/2014/main" id="{074C9B65-4075-E73D-DA57-AD7F800545A5}"/>
            </a:ext>
          </a:extLst>
        </xdr:cNvPr>
        <xdr:cNvSpPr/>
      </xdr:nvSpPr>
      <xdr:spPr>
        <a:xfrm>
          <a:off x="6696075" y="369570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209030</xdr:colOff>
      <xdr:row>17</xdr:row>
      <xdr:rowOff>169535</xdr:rowOff>
    </xdr:from>
    <xdr:to>
      <xdr:col>11</xdr:col>
      <xdr:colOff>362470</xdr:colOff>
      <xdr:row>22</xdr:row>
      <xdr:rowOff>49540</xdr:rowOff>
    </xdr:to>
    <xdr:cxnSp macro="">
      <xdr:nvCxnSpPr>
        <xdr:cNvPr id="109" name="Прямая со стрелкой 108">
          <a:extLst>
            <a:ext uri="{FF2B5EF4-FFF2-40B4-BE49-F238E27FC236}">
              <a16:creationId xmlns:a16="http://schemas.microsoft.com/office/drawing/2014/main" id="{3BB6535D-FBC2-44A2-B0CF-A183298E561B}"/>
            </a:ext>
          </a:extLst>
        </xdr:cNvPr>
        <xdr:cNvCxnSpPr>
          <a:cxnSpLocks/>
          <a:stCxn id="65" idx="3"/>
          <a:endCxn id="206" idx="7"/>
        </xdr:cNvCxnSpPr>
      </xdr:nvCxnSpPr>
      <xdr:spPr>
        <a:xfrm flipH="1">
          <a:off x="5695430" y="3408035"/>
          <a:ext cx="1372640" cy="84203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24</xdr:row>
      <xdr:rowOff>114300</xdr:rowOff>
    </xdr:from>
    <xdr:to>
      <xdr:col>7</xdr:col>
      <xdr:colOff>285750</xdr:colOff>
      <xdr:row>27</xdr:row>
      <xdr:rowOff>76200</xdr:rowOff>
    </xdr:to>
    <xdr:sp macro="" textlink="">
      <xdr:nvSpPr>
        <xdr:cNvPr id="114" name="Овал 113">
          <a:extLst>
            <a:ext uri="{FF2B5EF4-FFF2-40B4-BE49-F238E27FC236}">
              <a16:creationId xmlns:a16="http://schemas.microsoft.com/office/drawing/2014/main" id="{F13988EE-2117-1B08-E7E2-7D70DE98D675}"/>
            </a:ext>
          </a:extLst>
        </xdr:cNvPr>
        <xdr:cNvSpPr/>
      </xdr:nvSpPr>
      <xdr:spPr>
        <a:xfrm>
          <a:off x="4029075" y="4695825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400050</xdr:colOff>
      <xdr:row>27</xdr:row>
      <xdr:rowOff>47625</xdr:rowOff>
    </xdr:from>
    <xdr:to>
      <xdr:col>11</xdr:col>
      <xdr:colOff>314325</xdr:colOff>
      <xdr:row>30</xdr:row>
      <xdr:rowOff>9525</xdr:rowOff>
    </xdr:to>
    <xdr:sp macro="" textlink="">
      <xdr:nvSpPr>
        <xdr:cNvPr id="116" name="Овал 115">
          <a:extLst>
            <a:ext uri="{FF2B5EF4-FFF2-40B4-BE49-F238E27FC236}">
              <a16:creationId xmlns:a16="http://schemas.microsoft.com/office/drawing/2014/main" id="{0E9C0BD7-EB03-1902-6A1F-7D69DE0F2B74}"/>
            </a:ext>
          </a:extLst>
        </xdr:cNvPr>
        <xdr:cNvSpPr/>
      </xdr:nvSpPr>
      <xdr:spPr>
        <a:xfrm>
          <a:off x="6496050" y="520065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9</xdr:col>
      <xdr:colOff>47625</xdr:colOff>
      <xdr:row>26</xdr:row>
      <xdr:rowOff>133350</xdr:rowOff>
    </xdr:from>
    <xdr:ext cx="26629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A3B6CF9-1B23-CA4B-1B28-950A29A0E94D}"/>
            </a:ext>
          </a:extLst>
        </xdr:cNvPr>
        <xdr:cNvSpPr txBox="1"/>
      </xdr:nvSpPr>
      <xdr:spPr>
        <a:xfrm>
          <a:off x="5534025" y="5095875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К</a:t>
          </a:r>
        </a:p>
      </xdr:txBody>
    </xdr:sp>
    <xdr:clientData/>
  </xdr:oneCellAnchor>
  <xdr:twoCellAnchor>
    <xdr:from>
      <xdr:col>9</xdr:col>
      <xdr:colOff>285750</xdr:colOff>
      <xdr:row>21</xdr:row>
      <xdr:rowOff>140960</xdr:rowOff>
    </xdr:from>
    <xdr:to>
      <xdr:col>11</xdr:col>
      <xdr:colOff>67195</xdr:colOff>
      <xdr:row>23</xdr:row>
      <xdr:rowOff>47625</xdr:rowOff>
    </xdr:to>
    <xdr:cxnSp macro="">
      <xdr:nvCxnSpPr>
        <xdr:cNvPr id="121" name="Прямая со стрелкой 120">
          <a:extLst>
            <a:ext uri="{FF2B5EF4-FFF2-40B4-BE49-F238E27FC236}">
              <a16:creationId xmlns:a16="http://schemas.microsoft.com/office/drawing/2014/main" id="{676D7240-7FB3-489F-A9FC-27B60C61D00F}"/>
            </a:ext>
          </a:extLst>
        </xdr:cNvPr>
        <xdr:cNvCxnSpPr>
          <a:cxnSpLocks/>
          <a:stCxn id="69" idx="3"/>
          <a:endCxn id="206" idx="6"/>
        </xdr:cNvCxnSpPr>
      </xdr:nvCxnSpPr>
      <xdr:spPr>
        <a:xfrm flipH="1">
          <a:off x="5772150" y="4150985"/>
          <a:ext cx="1000645" cy="28766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237605</xdr:colOff>
      <xdr:row>25</xdr:row>
      <xdr:rowOff>102860</xdr:rowOff>
    </xdr:from>
    <xdr:to>
      <xdr:col>11</xdr:col>
      <xdr:colOff>467245</xdr:colOff>
      <xdr:row>27</xdr:row>
      <xdr:rowOff>125740</xdr:rowOff>
    </xdr:to>
    <xdr:cxnSp macro="">
      <xdr:nvCxnSpPr>
        <xdr:cNvPr id="135" name="Прямая со стрелкой 134">
          <a:extLst>
            <a:ext uri="{FF2B5EF4-FFF2-40B4-BE49-F238E27FC236}">
              <a16:creationId xmlns:a16="http://schemas.microsoft.com/office/drawing/2014/main" id="{A14D7028-8714-4F34-92DB-47E1DFFA52A7}"/>
            </a:ext>
          </a:extLst>
        </xdr:cNvPr>
        <xdr:cNvCxnSpPr>
          <a:cxnSpLocks/>
          <a:stCxn id="57" idx="3"/>
          <a:endCxn id="116" idx="7"/>
        </xdr:cNvCxnSpPr>
      </xdr:nvCxnSpPr>
      <xdr:spPr>
        <a:xfrm flipH="1">
          <a:off x="6943205" y="4874885"/>
          <a:ext cx="229640" cy="40388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314325</xdr:colOff>
      <xdr:row>28</xdr:row>
      <xdr:rowOff>123825</xdr:rowOff>
    </xdr:from>
    <xdr:to>
      <xdr:col>15</xdr:col>
      <xdr:colOff>447675</xdr:colOff>
      <xdr:row>30</xdr:row>
      <xdr:rowOff>9525</xdr:rowOff>
    </xdr:to>
    <xdr:cxnSp macro="">
      <xdr:nvCxnSpPr>
        <xdr:cNvPr id="138" name="Прямая со стрелкой 137">
          <a:extLst>
            <a:ext uri="{FF2B5EF4-FFF2-40B4-BE49-F238E27FC236}">
              <a16:creationId xmlns:a16="http://schemas.microsoft.com/office/drawing/2014/main" id="{A9CAF3D3-E08F-E7A6-E0A9-F54B60745A4A}"/>
            </a:ext>
          </a:extLst>
        </xdr:cNvPr>
        <xdr:cNvCxnSpPr>
          <a:stCxn id="116" idx="6"/>
          <a:endCxn id="143" idx="2"/>
        </xdr:cNvCxnSpPr>
      </xdr:nvCxnSpPr>
      <xdr:spPr>
        <a:xfrm>
          <a:off x="7019925" y="5467350"/>
          <a:ext cx="257175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447675</xdr:colOff>
      <xdr:row>28</xdr:row>
      <xdr:rowOff>123825</xdr:rowOff>
    </xdr:from>
    <xdr:to>
      <xdr:col>16</xdr:col>
      <xdr:colOff>361950</xdr:colOff>
      <xdr:row>31</xdr:row>
      <xdr:rowOff>85725</xdr:rowOff>
    </xdr:to>
    <xdr:sp macro="" textlink="">
      <xdr:nvSpPr>
        <xdr:cNvPr id="143" name="Овал 142">
          <a:extLst>
            <a:ext uri="{FF2B5EF4-FFF2-40B4-BE49-F238E27FC236}">
              <a16:creationId xmlns:a16="http://schemas.microsoft.com/office/drawing/2014/main" id="{5636ED9E-C4FA-374B-324C-E5F740123CC8}"/>
            </a:ext>
          </a:extLst>
        </xdr:cNvPr>
        <xdr:cNvSpPr/>
      </xdr:nvSpPr>
      <xdr:spPr>
        <a:xfrm>
          <a:off x="9591675" y="546735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12</xdr:col>
      <xdr:colOff>152400</xdr:colOff>
      <xdr:row>27</xdr:row>
      <xdr:rowOff>171450</xdr:rowOff>
    </xdr:from>
    <xdr:ext cx="270843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FF2B3D14-2F2B-AA91-74F1-34A7365015CA}"/>
            </a:ext>
          </a:extLst>
        </xdr:cNvPr>
        <xdr:cNvSpPr txBox="1"/>
      </xdr:nvSpPr>
      <xdr:spPr>
        <a:xfrm>
          <a:off x="7467600" y="5324475"/>
          <a:ext cx="2708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Л</a:t>
          </a:r>
        </a:p>
      </xdr:txBody>
    </xdr:sp>
    <xdr:clientData/>
  </xdr:oneCellAnchor>
  <xdr:twoCellAnchor>
    <xdr:from>
      <xdr:col>12</xdr:col>
      <xdr:colOff>295275</xdr:colOff>
      <xdr:row>10</xdr:row>
      <xdr:rowOff>152400</xdr:rowOff>
    </xdr:from>
    <xdr:to>
      <xdr:col>13</xdr:col>
      <xdr:colOff>209550</xdr:colOff>
      <xdr:row>13</xdr:row>
      <xdr:rowOff>114300</xdr:rowOff>
    </xdr:to>
    <xdr:sp macro="" textlink="">
      <xdr:nvSpPr>
        <xdr:cNvPr id="161" name="Овал 160">
          <a:extLst>
            <a:ext uri="{FF2B5EF4-FFF2-40B4-BE49-F238E27FC236}">
              <a16:creationId xmlns:a16="http://schemas.microsoft.com/office/drawing/2014/main" id="{A52C2CC6-0DAA-758B-0C50-B39C830A9B42}"/>
            </a:ext>
          </a:extLst>
        </xdr:cNvPr>
        <xdr:cNvSpPr/>
      </xdr:nvSpPr>
      <xdr:spPr>
        <a:xfrm>
          <a:off x="7610475" y="205740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237605</xdr:colOff>
      <xdr:row>12</xdr:row>
      <xdr:rowOff>38100</xdr:rowOff>
    </xdr:from>
    <xdr:to>
      <xdr:col>12</xdr:col>
      <xdr:colOff>295275</xdr:colOff>
      <xdr:row>16</xdr:row>
      <xdr:rowOff>20965</xdr:rowOff>
    </xdr:to>
    <xdr:cxnSp macro="">
      <xdr:nvCxnSpPr>
        <xdr:cNvPr id="162" name="Прямая со стрелкой 161">
          <a:extLst>
            <a:ext uri="{FF2B5EF4-FFF2-40B4-BE49-F238E27FC236}">
              <a16:creationId xmlns:a16="http://schemas.microsoft.com/office/drawing/2014/main" id="{FD7E59A4-D5AA-F033-5837-1149A6DD84BC}"/>
            </a:ext>
          </a:extLst>
        </xdr:cNvPr>
        <xdr:cNvCxnSpPr>
          <a:stCxn id="64" idx="7"/>
          <a:endCxn id="161" idx="2"/>
        </xdr:cNvCxnSpPr>
      </xdr:nvCxnSpPr>
      <xdr:spPr>
        <a:xfrm flipV="1">
          <a:off x="5724005" y="2324100"/>
          <a:ext cx="1886470" cy="7448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361950</xdr:colOff>
      <xdr:row>13</xdr:row>
      <xdr:rowOff>9525</xdr:rowOff>
    </xdr:from>
    <xdr:ext cx="305276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21148CBE-2AB4-3DCF-07E2-0A8494F5E10A}"/>
            </a:ext>
          </a:extLst>
        </xdr:cNvPr>
        <xdr:cNvSpPr txBox="1"/>
      </xdr:nvSpPr>
      <xdr:spPr>
        <a:xfrm>
          <a:off x="6457950" y="2486025"/>
          <a:ext cx="3052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М</a:t>
          </a:r>
        </a:p>
      </xdr:txBody>
    </xdr:sp>
    <xdr:clientData/>
  </xdr:oneCellAnchor>
  <xdr:twoCellAnchor>
    <xdr:from>
      <xdr:col>7</xdr:col>
      <xdr:colOff>285750</xdr:colOff>
      <xdr:row>24</xdr:row>
      <xdr:rowOff>104775</xdr:rowOff>
    </xdr:from>
    <xdr:to>
      <xdr:col>11</xdr:col>
      <xdr:colOff>390525</xdr:colOff>
      <xdr:row>26</xdr:row>
      <xdr:rowOff>0</xdr:rowOff>
    </xdr:to>
    <xdr:cxnSp macro="">
      <xdr:nvCxnSpPr>
        <xdr:cNvPr id="171" name="Прямая со стрелкой 170">
          <a:extLst>
            <a:ext uri="{FF2B5EF4-FFF2-40B4-BE49-F238E27FC236}">
              <a16:creationId xmlns:a16="http://schemas.microsoft.com/office/drawing/2014/main" id="{9BAFE8EC-03C9-4F5A-B568-5976B790E689}"/>
            </a:ext>
          </a:extLst>
        </xdr:cNvPr>
        <xdr:cNvCxnSpPr>
          <a:cxnSpLocks/>
          <a:stCxn id="114" idx="6"/>
          <a:endCxn id="57" idx="2"/>
        </xdr:cNvCxnSpPr>
      </xdr:nvCxnSpPr>
      <xdr:spPr>
        <a:xfrm flipV="1">
          <a:off x="4552950" y="4686300"/>
          <a:ext cx="2543175" cy="27622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24</xdr:row>
      <xdr:rowOff>104775</xdr:rowOff>
    </xdr:from>
    <xdr:to>
      <xdr:col>14</xdr:col>
      <xdr:colOff>247650</xdr:colOff>
      <xdr:row>25</xdr:row>
      <xdr:rowOff>28575</xdr:rowOff>
    </xdr:to>
    <xdr:cxnSp macro="">
      <xdr:nvCxnSpPr>
        <xdr:cNvPr id="185" name="Прямая со стрелкой 184">
          <a:extLst>
            <a:ext uri="{FF2B5EF4-FFF2-40B4-BE49-F238E27FC236}">
              <a16:creationId xmlns:a16="http://schemas.microsoft.com/office/drawing/2014/main" id="{D181EBBE-2278-BBF4-4F05-6D31842BF8CD}"/>
            </a:ext>
          </a:extLst>
        </xdr:cNvPr>
        <xdr:cNvCxnSpPr>
          <a:stCxn id="57" idx="6"/>
          <a:endCxn id="199" idx="2"/>
        </xdr:cNvCxnSpPr>
      </xdr:nvCxnSpPr>
      <xdr:spPr>
        <a:xfrm>
          <a:off x="7620000" y="4686300"/>
          <a:ext cx="116205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247650</xdr:colOff>
      <xdr:row>23</xdr:row>
      <xdr:rowOff>142875</xdr:rowOff>
    </xdr:from>
    <xdr:to>
      <xdr:col>15</xdr:col>
      <xdr:colOff>161925</xdr:colOff>
      <xdr:row>26</xdr:row>
      <xdr:rowOff>104775</xdr:rowOff>
    </xdr:to>
    <xdr:sp macro="" textlink="">
      <xdr:nvSpPr>
        <xdr:cNvPr id="199" name="Овал 198">
          <a:extLst>
            <a:ext uri="{FF2B5EF4-FFF2-40B4-BE49-F238E27FC236}">
              <a16:creationId xmlns:a16="http://schemas.microsoft.com/office/drawing/2014/main" id="{CA4C945D-DA61-FFA5-E95E-668186C1552B}"/>
            </a:ext>
          </a:extLst>
        </xdr:cNvPr>
        <xdr:cNvSpPr/>
      </xdr:nvSpPr>
      <xdr:spPr>
        <a:xfrm>
          <a:off x="8782050" y="453390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13</xdr:col>
      <xdr:colOff>123825</xdr:colOff>
      <xdr:row>23</xdr:row>
      <xdr:rowOff>57150</xdr:rowOff>
    </xdr:from>
    <xdr:ext cx="278089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BDAE0149-1CD3-2512-D956-45A88E675D7B}"/>
            </a:ext>
          </a:extLst>
        </xdr:cNvPr>
        <xdr:cNvSpPr txBox="1"/>
      </xdr:nvSpPr>
      <xdr:spPr>
        <a:xfrm>
          <a:off x="8048625" y="4448175"/>
          <a:ext cx="2780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О</a:t>
          </a:r>
        </a:p>
      </xdr:txBody>
    </xdr:sp>
    <xdr:clientData/>
  </xdr:oneCellAnchor>
  <xdr:twoCellAnchor>
    <xdr:from>
      <xdr:col>8</xdr:col>
      <xdr:colOff>371475</xdr:colOff>
      <xdr:row>21</xdr:row>
      <xdr:rowOff>161925</xdr:rowOff>
    </xdr:from>
    <xdr:to>
      <xdr:col>9</xdr:col>
      <xdr:colOff>285750</xdr:colOff>
      <xdr:row>24</xdr:row>
      <xdr:rowOff>123825</xdr:rowOff>
    </xdr:to>
    <xdr:sp macro="" textlink="">
      <xdr:nvSpPr>
        <xdr:cNvPr id="206" name="Овал 205">
          <a:extLst>
            <a:ext uri="{FF2B5EF4-FFF2-40B4-BE49-F238E27FC236}">
              <a16:creationId xmlns:a16="http://schemas.microsoft.com/office/drawing/2014/main" id="{62B31CF7-3C48-C70E-2035-BEC563361F6C}"/>
            </a:ext>
          </a:extLst>
        </xdr:cNvPr>
        <xdr:cNvSpPr/>
      </xdr:nvSpPr>
      <xdr:spPr>
        <a:xfrm>
          <a:off x="5248275" y="417195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209030</xdr:colOff>
      <xdr:row>23</xdr:row>
      <xdr:rowOff>47625</xdr:rowOff>
    </xdr:from>
    <xdr:to>
      <xdr:col>8</xdr:col>
      <xdr:colOff>371475</xdr:colOff>
      <xdr:row>25</xdr:row>
      <xdr:rowOff>1915</xdr:rowOff>
    </xdr:to>
    <xdr:cxnSp macro="">
      <xdr:nvCxnSpPr>
        <xdr:cNvPr id="208" name="Прямая со стрелкой 207">
          <a:extLst>
            <a:ext uri="{FF2B5EF4-FFF2-40B4-BE49-F238E27FC236}">
              <a16:creationId xmlns:a16="http://schemas.microsoft.com/office/drawing/2014/main" id="{297B9D45-D979-4ADF-A8CA-8EAC34778314}"/>
            </a:ext>
          </a:extLst>
        </xdr:cNvPr>
        <xdr:cNvCxnSpPr>
          <a:cxnSpLocks/>
          <a:stCxn id="206" idx="2"/>
          <a:endCxn id="114" idx="7"/>
        </xdr:cNvCxnSpPr>
      </xdr:nvCxnSpPr>
      <xdr:spPr>
        <a:xfrm flipH="1">
          <a:off x="4476230" y="4438650"/>
          <a:ext cx="772045" cy="33529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247650</xdr:colOff>
      <xdr:row>7</xdr:row>
      <xdr:rowOff>161925</xdr:rowOff>
    </xdr:from>
    <xdr:to>
      <xdr:col>17</xdr:col>
      <xdr:colOff>161925</xdr:colOff>
      <xdr:row>10</xdr:row>
      <xdr:rowOff>123825</xdr:rowOff>
    </xdr:to>
    <xdr:sp macro="" textlink="">
      <xdr:nvSpPr>
        <xdr:cNvPr id="17" name="Овал 16">
          <a:extLst>
            <a:ext uri="{FF2B5EF4-FFF2-40B4-BE49-F238E27FC236}">
              <a16:creationId xmlns:a16="http://schemas.microsoft.com/office/drawing/2014/main" id="{D8F1DDE4-A556-C708-660D-8BF23E6B1041}"/>
            </a:ext>
          </a:extLst>
        </xdr:cNvPr>
        <xdr:cNvSpPr/>
      </xdr:nvSpPr>
      <xdr:spPr>
        <a:xfrm>
          <a:off x="10001250" y="1495425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95250</xdr:colOff>
      <xdr:row>8</xdr:row>
      <xdr:rowOff>49540</xdr:rowOff>
    </xdr:from>
    <xdr:to>
      <xdr:col>16</xdr:col>
      <xdr:colOff>324370</xdr:colOff>
      <xdr:row>9</xdr:row>
      <xdr:rowOff>66675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27F65088-EED3-4F43-8E24-9CF37FBBAAB2}"/>
            </a:ext>
          </a:extLst>
        </xdr:cNvPr>
        <xdr:cNvCxnSpPr>
          <a:stCxn id="8" idx="6"/>
          <a:endCxn id="17" idx="1"/>
        </xdr:cNvCxnSpPr>
      </xdr:nvCxnSpPr>
      <xdr:spPr>
        <a:xfrm flipV="1">
          <a:off x="7410450" y="1573540"/>
          <a:ext cx="2667520" cy="2076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209550</xdr:colOff>
      <xdr:row>9</xdr:row>
      <xdr:rowOff>47625</xdr:rowOff>
    </xdr:from>
    <xdr:to>
      <xdr:col>16</xdr:col>
      <xdr:colOff>247650</xdr:colOff>
      <xdr:row>12</xdr:row>
      <xdr:rowOff>38100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67927931-286C-4783-A577-842864DE74D0}"/>
            </a:ext>
          </a:extLst>
        </xdr:cNvPr>
        <xdr:cNvCxnSpPr>
          <a:stCxn id="161" idx="6"/>
          <a:endCxn id="17" idx="2"/>
        </xdr:cNvCxnSpPr>
      </xdr:nvCxnSpPr>
      <xdr:spPr>
        <a:xfrm flipV="1">
          <a:off x="8134350" y="1762125"/>
          <a:ext cx="1866900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200025</xdr:colOff>
      <xdr:row>10</xdr:row>
      <xdr:rowOff>45710</xdr:rowOff>
    </xdr:from>
    <xdr:to>
      <xdr:col>16</xdr:col>
      <xdr:colOff>324370</xdr:colOff>
      <xdr:row>16</xdr:row>
      <xdr:rowOff>171450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13989B92-0138-4AA1-9D1D-F5BC77A46959}"/>
            </a:ext>
          </a:extLst>
        </xdr:cNvPr>
        <xdr:cNvCxnSpPr>
          <a:stCxn id="65" idx="6"/>
          <a:endCxn id="17" idx="3"/>
        </xdr:cNvCxnSpPr>
      </xdr:nvCxnSpPr>
      <xdr:spPr>
        <a:xfrm flipV="1">
          <a:off x="7515225" y="1950710"/>
          <a:ext cx="2562745" cy="1268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85205</xdr:colOff>
      <xdr:row>10</xdr:row>
      <xdr:rowOff>123825</xdr:rowOff>
    </xdr:from>
    <xdr:to>
      <xdr:col>16</xdr:col>
      <xdr:colOff>509588</xdr:colOff>
      <xdr:row>24</xdr:row>
      <xdr:rowOff>30490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A8D1FD09-54B0-4280-A582-D89C6FEFFF1A}"/>
            </a:ext>
          </a:extLst>
        </xdr:cNvPr>
        <xdr:cNvCxnSpPr>
          <a:cxnSpLocks/>
          <a:stCxn id="199" idx="7"/>
          <a:endCxn id="17" idx="4"/>
        </xdr:cNvCxnSpPr>
      </xdr:nvCxnSpPr>
      <xdr:spPr>
        <a:xfrm flipV="1">
          <a:off x="9229205" y="2028825"/>
          <a:ext cx="1033983" cy="25831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100013</xdr:colOff>
      <xdr:row>10</xdr:row>
      <xdr:rowOff>45710</xdr:rowOff>
    </xdr:from>
    <xdr:to>
      <xdr:col>17</xdr:col>
      <xdr:colOff>85205</xdr:colOff>
      <xdr:row>28</xdr:row>
      <xdr:rowOff>123825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1DAD7024-9C80-4658-8C5F-560F4938C396}"/>
            </a:ext>
          </a:extLst>
        </xdr:cNvPr>
        <xdr:cNvCxnSpPr>
          <a:stCxn id="143" idx="0"/>
          <a:endCxn id="17" idx="5"/>
        </xdr:cNvCxnSpPr>
      </xdr:nvCxnSpPr>
      <xdr:spPr>
        <a:xfrm flipV="1">
          <a:off x="9853613" y="1950710"/>
          <a:ext cx="594792" cy="35166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590550</xdr:colOff>
      <xdr:row>7</xdr:row>
      <xdr:rowOff>161925</xdr:rowOff>
    </xdr:from>
    <xdr:to>
      <xdr:col>12</xdr:col>
      <xdr:colOff>485775</xdr:colOff>
      <xdr:row>10</xdr:row>
      <xdr:rowOff>38100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89C8A58A-608C-409C-91F4-A662669B2E12}"/>
            </a:ext>
          </a:extLst>
        </xdr:cNvPr>
        <xdr:cNvSpPr/>
      </xdr:nvSpPr>
      <xdr:spPr>
        <a:xfrm>
          <a:off x="8115300" y="15335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13</xdr:col>
      <xdr:colOff>333375</xdr:colOff>
      <xdr:row>3</xdr:row>
      <xdr:rowOff>123825</xdr:rowOff>
    </xdr:from>
    <xdr:to>
      <xdr:col>14</xdr:col>
      <xdr:colOff>228600</xdr:colOff>
      <xdr:row>6</xdr:row>
      <xdr:rowOff>0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050D8173-CC17-4DF3-A32D-983DA15CEC87}"/>
            </a:ext>
          </a:extLst>
        </xdr:cNvPr>
        <xdr:cNvSpPr/>
      </xdr:nvSpPr>
      <xdr:spPr>
        <a:xfrm>
          <a:off x="9077325" y="7334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15</xdr:col>
      <xdr:colOff>466725</xdr:colOff>
      <xdr:row>2</xdr:row>
      <xdr:rowOff>142875</xdr:rowOff>
    </xdr:from>
    <xdr:to>
      <xdr:col>16</xdr:col>
      <xdr:colOff>361950</xdr:colOff>
      <xdr:row>5</xdr:row>
      <xdr:rowOff>19050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171DBB15-AA2B-4DBD-AD35-B071714EF542}"/>
            </a:ext>
          </a:extLst>
        </xdr:cNvPr>
        <xdr:cNvSpPr/>
      </xdr:nvSpPr>
      <xdr:spPr>
        <a:xfrm>
          <a:off x="10429875" y="56197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17</xdr:col>
      <xdr:colOff>476250</xdr:colOff>
      <xdr:row>4</xdr:row>
      <xdr:rowOff>85725</xdr:rowOff>
    </xdr:from>
    <xdr:to>
      <xdr:col>18</xdr:col>
      <xdr:colOff>371475</xdr:colOff>
      <xdr:row>6</xdr:row>
      <xdr:rowOff>152400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002FD814-C922-438E-81D7-C7E9456A9453}"/>
            </a:ext>
          </a:extLst>
        </xdr:cNvPr>
        <xdr:cNvSpPr/>
      </xdr:nvSpPr>
      <xdr:spPr>
        <a:xfrm>
          <a:off x="11658600" y="8858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19</xdr:col>
      <xdr:colOff>381000</xdr:colOff>
      <xdr:row>8</xdr:row>
      <xdr:rowOff>47625</xdr:rowOff>
    </xdr:from>
    <xdr:to>
      <xdr:col>20</xdr:col>
      <xdr:colOff>276225</xdr:colOff>
      <xdr:row>10</xdr:row>
      <xdr:rowOff>114300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F491E9CB-A052-4460-B655-AC0F5D23D7D9}"/>
            </a:ext>
          </a:extLst>
        </xdr:cNvPr>
        <xdr:cNvSpPr/>
      </xdr:nvSpPr>
      <xdr:spPr>
        <a:xfrm>
          <a:off x="12782550" y="16097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16</xdr:col>
      <xdr:colOff>209550</xdr:colOff>
      <xdr:row>8</xdr:row>
      <xdr:rowOff>152400</xdr:rowOff>
    </xdr:from>
    <xdr:to>
      <xdr:col>17</xdr:col>
      <xdr:colOff>104775</xdr:colOff>
      <xdr:row>11</xdr:row>
      <xdr:rowOff>28575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522DE751-1FE2-46CA-B46F-4262A0DA71B7}"/>
            </a:ext>
          </a:extLst>
        </xdr:cNvPr>
        <xdr:cNvSpPr/>
      </xdr:nvSpPr>
      <xdr:spPr>
        <a:xfrm>
          <a:off x="10782300" y="171450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16</xdr:col>
      <xdr:colOff>542925</xdr:colOff>
      <xdr:row>14</xdr:row>
      <xdr:rowOff>95250</xdr:rowOff>
    </xdr:from>
    <xdr:to>
      <xdr:col>17</xdr:col>
      <xdr:colOff>438150</xdr:colOff>
      <xdr:row>16</xdr:row>
      <xdr:rowOff>161925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E6704185-282D-483F-8C6A-E3CFF404EE38}"/>
            </a:ext>
          </a:extLst>
        </xdr:cNvPr>
        <xdr:cNvSpPr/>
      </xdr:nvSpPr>
      <xdr:spPr>
        <a:xfrm>
          <a:off x="11115675" y="280035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12</xdr:col>
      <xdr:colOff>411845</xdr:colOff>
      <xdr:row>5</xdr:row>
      <xdr:rowOff>124940</xdr:rowOff>
    </xdr:from>
    <xdr:to>
      <xdr:col>13</xdr:col>
      <xdr:colOff>407305</xdr:colOff>
      <xdr:row>8</xdr:row>
      <xdr:rowOff>36985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F5634946-FB37-4ABC-BA30-03AEDDFBBCCC}"/>
            </a:ext>
          </a:extLst>
        </xdr:cNvPr>
        <xdr:cNvCxnSpPr>
          <a:stCxn id="2" idx="7"/>
          <a:endCxn id="3" idx="3"/>
        </xdr:cNvCxnSpPr>
      </xdr:nvCxnSpPr>
      <xdr:spPr>
        <a:xfrm flipV="1">
          <a:off x="8546195" y="1115540"/>
          <a:ext cx="605060" cy="483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228600</xdr:colOff>
      <xdr:row>3</xdr:row>
      <xdr:rowOff>176213</xdr:rowOff>
    </xdr:from>
    <xdr:to>
      <xdr:col>15</xdr:col>
      <xdr:colOff>466725</xdr:colOff>
      <xdr:row>4</xdr:row>
      <xdr:rowOff>157163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39FBCC38-ACAE-407D-A6DD-F221F71ADEB9}"/>
            </a:ext>
          </a:extLst>
        </xdr:cNvPr>
        <xdr:cNvCxnSpPr>
          <a:stCxn id="3" idx="6"/>
          <a:endCxn id="4" idx="2"/>
        </xdr:cNvCxnSpPr>
      </xdr:nvCxnSpPr>
      <xdr:spPr>
        <a:xfrm flipV="1">
          <a:off x="9582150" y="785813"/>
          <a:ext cx="847725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361950</xdr:colOff>
      <xdr:row>3</xdr:row>
      <xdr:rowOff>176213</xdr:rowOff>
    </xdr:from>
    <xdr:to>
      <xdr:col>17</xdr:col>
      <xdr:colOff>476250</xdr:colOff>
      <xdr:row>5</xdr:row>
      <xdr:rowOff>119063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76B365CD-DE8E-4021-B03C-532719D5D8EA}"/>
            </a:ext>
          </a:extLst>
        </xdr:cNvPr>
        <xdr:cNvCxnSpPr>
          <a:stCxn id="4" idx="6"/>
          <a:endCxn id="5" idx="2"/>
        </xdr:cNvCxnSpPr>
      </xdr:nvCxnSpPr>
      <xdr:spPr>
        <a:xfrm>
          <a:off x="10934700" y="785813"/>
          <a:ext cx="72390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109538</xdr:colOff>
      <xdr:row>5</xdr:row>
      <xdr:rowOff>19050</xdr:rowOff>
    </xdr:from>
    <xdr:to>
      <xdr:col>16</xdr:col>
      <xdr:colOff>461963</xdr:colOff>
      <xdr:row>8</xdr:row>
      <xdr:rowOff>152400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A32D29D7-AFF3-406D-A095-4673B144DF07}"/>
            </a:ext>
          </a:extLst>
        </xdr:cNvPr>
        <xdr:cNvCxnSpPr>
          <a:stCxn id="4" idx="4"/>
          <a:endCxn id="7" idx="0"/>
        </xdr:cNvCxnSpPr>
      </xdr:nvCxnSpPr>
      <xdr:spPr>
        <a:xfrm>
          <a:off x="10682288" y="1009650"/>
          <a:ext cx="352425" cy="704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104775</xdr:colOff>
      <xdr:row>9</xdr:row>
      <xdr:rowOff>80963</xdr:rowOff>
    </xdr:from>
    <xdr:to>
      <xdr:col>19</xdr:col>
      <xdr:colOff>381000</xdr:colOff>
      <xdr:row>9</xdr:row>
      <xdr:rowOff>185738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965FC4EA-37BF-448D-B8E5-3682463139C4}"/>
            </a:ext>
          </a:extLst>
        </xdr:cNvPr>
        <xdr:cNvCxnSpPr>
          <a:stCxn id="7" idx="6"/>
          <a:endCxn id="6" idx="2"/>
        </xdr:cNvCxnSpPr>
      </xdr:nvCxnSpPr>
      <xdr:spPr>
        <a:xfrm flipV="1">
          <a:off x="11287125" y="1833563"/>
          <a:ext cx="149542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297545</xdr:colOff>
      <xdr:row>6</xdr:row>
      <xdr:rowOff>86840</xdr:rowOff>
    </xdr:from>
    <xdr:to>
      <xdr:col>19</xdr:col>
      <xdr:colOff>454930</xdr:colOff>
      <xdr:row>8</xdr:row>
      <xdr:rowOff>113185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EA6CEFFA-6F54-4E6F-87C8-642D1D8116FA}"/>
            </a:ext>
          </a:extLst>
        </xdr:cNvPr>
        <xdr:cNvCxnSpPr>
          <a:stCxn id="5" idx="5"/>
          <a:endCxn id="6" idx="1"/>
        </xdr:cNvCxnSpPr>
      </xdr:nvCxnSpPr>
      <xdr:spPr>
        <a:xfrm>
          <a:off x="12089495" y="1267940"/>
          <a:ext cx="766985" cy="4073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411845</xdr:colOff>
      <xdr:row>9</xdr:row>
      <xdr:rowOff>163040</xdr:rowOff>
    </xdr:from>
    <xdr:to>
      <xdr:col>16</xdr:col>
      <xdr:colOff>542925</xdr:colOff>
      <xdr:row>15</xdr:row>
      <xdr:rowOff>128588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997B6918-AFDB-4592-A597-CAE8B0F64AEF}"/>
            </a:ext>
          </a:extLst>
        </xdr:cNvPr>
        <xdr:cNvCxnSpPr>
          <a:stCxn id="2" idx="5"/>
          <a:endCxn id="8" idx="2"/>
        </xdr:cNvCxnSpPr>
      </xdr:nvCxnSpPr>
      <xdr:spPr>
        <a:xfrm>
          <a:off x="8546195" y="1915640"/>
          <a:ext cx="2569480" cy="1108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438150</xdr:colOff>
      <xdr:row>10</xdr:row>
      <xdr:rowOff>48740</xdr:rowOff>
    </xdr:from>
    <xdr:to>
      <xdr:col>19</xdr:col>
      <xdr:colOff>454930</xdr:colOff>
      <xdr:row>15</xdr:row>
      <xdr:rowOff>128588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83D1764C-8239-45A0-BDA6-C3A248375C69}"/>
            </a:ext>
          </a:extLst>
        </xdr:cNvPr>
        <xdr:cNvCxnSpPr>
          <a:stCxn id="8" idx="6"/>
          <a:endCxn id="6" idx="3"/>
        </xdr:cNvCxnSpPr>
      </xdr:nvCxnSpPr>
      <xdr:spPr>
        <a:xfrm flipV="1">
          <a:off x="11620500" y="1991840"/>
          <a:ext cx="1235980" cy="1032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9</xdr:row>
      <xdr:rowOff>4763</xdr:rowOff>
    </xdr:from>
    <xdr:to>
      <xdr:col>16</xdr:col>
      <xdr:colOff>209550</xdr:colOff>
      <xdr:row>9</xdr:row>
      <xdr:rowOff>185738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A3EFA21C-DDF8-496F-949E-8F3760143CCB}"/>
            </a:ext>
          </a:extLst>
        </xdr:cNvPr>
        <xdr:cNvCxnSpPr>
          <a:stCxn id="2" idx="6"/>
          <a:endCxn id="7" idx="2"/>
        </xdr:cNvCxnSpPr>
      </xdr:nvCxnSpPr>
      <xdr:spPr>
        <a:xfrm>
          <a:off x="8620125" y="1757363"/>
          <a:ext cx="216217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30845</xdr:colOff>
      <xdr:row>6</xdr:row>
      <xdr:rowOff>86840</xdr:rowOff>
    </xdr:from>
    <xdr:to>
      <xdr:col>17</xdr:col>
      <xdr:colOff>550180</xdr:colOff>
      <xdr:row>9</xdr:row>
      <xdr:rowOff>27460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CE7CF72D-ADC0-4E19-80B3-2BF7C7811499}"/>
            </a:ext>
          </a:extLst>
        </xdr:cNvPr>
        <xdr:cNvCxnSpPr>
          <a:stCxn id="7" idx="7"/>
          <a:endCxn id="5" idx="3"/>
        </xdr:cNvCxnSpPr>
      </xdr:nvCxnSpPr>
      <xdr:spPr>
        <a:xfrm flipV="1">
          <a:off x="11213195" y="1267940"/>
          <a:ext cx="519335" cy="5121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485775</xdr:colOff>
      <xdr:row>6</xdr:row>
      <xdr:rowOff>0</xdr:rowOff>
    </xdr:from>
    <xdr:ext cx="35141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B90DFBD-AA32-4C71-AB82-DA030E8D3693}"/>
            </a:ext>
          </a:extLst>
        </xdr:cNvPr>
        <xdr:cNvSpPr txBox="1"/>
      </xdr:nvSpPr>
      <xdr:spPr>
        <a:xfrm>
          <a:off x="8620125" y="11811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14</xdr:col>
      <xdr:colOff>485775</xdr:colOff>
      <xdr:row>3</xdr:row>
      <xdr:rowOff>47625</xdr:rowOff>
    </xdr:from>
    <xdr:ext cx="35141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37BD133-C418-40E7-A1D1-CC1571B1E907}"/>
            </a:ext>
          </a:extLst>
        </xdr:cNvPr>
        <xdr:cNvSpPr txBox="1"/>
      </xdr:nvSpPr>
      <xdr:spPr>
        <a:xfrm>
          <a:off x="9839325" y="6572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14</xdr:col>
      <xdr:colOff>457200</xdr:colOff>
      <xdr:row>8</xdr:row>
      <xdr:rowOff>66675</xdr:rowOff>
    </xdr:from>
    <xdr:ext cx="35141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69F1AD6-07F6-4715-8A5C-62CF0C944F97}"/>
            </a:ext>
          </a:extLst>
        </xdr:cNvPr>
        <xdr:cNvSpPr txBox="1"/>
      </xdr:nvSpPr>
      <xdr:spPr>
        <a:xfrm>
          <a:off x="9810750" y="16287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2</a:t>
          </a:r>
        </a:p>
      </xdr:txBody>
    </xdr:sp>
    <xdr:clientData/>
  </xdr:oneCellAnchor>
  <xdr:oneCellAnchor>
    <xdr:from>
      <xdr:col>15</xdr:col>
      <xdr:colOff>76200</xdr:colOff>
      <xdr:row>12</xdr:row>
      <xdr:rowOff>66675</xdr:rowOff>
    </xdr:from>
    <xdr:ext cx="35141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608BF2D-B020-4245-AA50-A2084AE3D451}"/>
            </a:ext>
          </a:extLst>
        </xdr:cNvPr>
        <xdr:cNvSpPr txBox="1"/>
      </xdr:nvSpPr>
      <xdr:spPr>
        <a:xfrm>
          <a:off x="10039350" y="23907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18</xdr:col>
      <xdr:colOff>95250</xdr:colOff>
      <xdr:row>12</xdr:row>
      <xdr:rowOff>114300</xdr:rowOff>
    </xdr:from>
    <xdr:ext cx="351410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1CDF3BD-620A-4D7D-A5C4-CEF0EE5757DB}"/>
            </a:ext>
          </a:extLst>
        </xdr:cNvPr>
        <xdr:cNvSpPr txBox="1"/>
      </xdr:nvSpPr>
      <xdr:spPr>
        <a:xfrm>
          <a:off x="11887200" y="24384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18</xdr:col>
      <xdr:colOff>57150</xdr:colOff>
      <xdr:row>8</xdr:row>
      <xdr:rowOff>114300</xdr:rowOff>
    </xdr:from>
    <xdr:ext cx="35141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AF34142-6F03-479A-A9F8-0A6387D8C05B}"/>
            </a:ext>
          </a:extLst>
        </xdr:cNvPr>
        <xdr:cNvSpPr txBox="1"/>
      </xdr:nvSpPr>
      <xdr:spPr>
        <a:xfrm>
          <a:off x="11849100" y="16764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7</a:t>
          </a:r>
        </a:p>
      </xdr:txBody>
    </xdr:sp>
    <xdr:clientData/>
  </xdr:oneCellAnchor>
  <xdr:oneCellAnchor>
    <xdr:from>
      <xdr:col>18</xdr:col>
      <xdr:colOff>504825</xdr:colOff>
      <xdr:row>6</xdr:row>
      <xdr:rowOff>9525</xdr:rowOff>
    </xdr:from>
    <xdr:ext cx="35141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25B6C78-BB23-4399-853C-78B1B99A058E}"/>
            </a:ext>
          </a:extLst>
        </xdr:cNvPr>
        <xdr:cNvSpPr txBox="1"/>
      </xdr:nvSpPr>
      <xdr:spPr>
        <a:xfrm>
          <a:off x="12296775" y="11906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17</xdr:col>
      <xdr:colOff>38100</xdr:colOff>
      <xdr:row>3</xdr:row>
      <xdr:rowOff>123825</xdr:rowOff>
    </xdr:from>
    <xdr:ext cx="351410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2629A53-0A4F-4ABE-952E-55290ACC952E}"/>
            </a:ext>
          </a:extLst>
        </xdr:cNvPr>
        <xdr:cNvSpPr txBox="1"/>
      </xdr:nvSpPr>
      <xdr:spPr>
        <a:xfrm>
          <a:off x="11220450" y="7334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2</a:t>
          </a:r>
        </a:p>
      </xdr:txBody>
    </xdr:sp>
    <xdr:clientData/>
  </xdr:oneCellAnchor>
  <xdr:oneCellAnchor>
    <xdr:from>
      <xdr:col>16</xdr:col>
      <xdr:colOff>57150</xdr:colOff>
      <xdr:row>6</xdr:row>
      <xdr:rowOff>66675</xdr:rowOff>
    </xdr:from>
    <xdr:ext cx="351410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058EDD2-9F52-4389-A425-456297E285DC}"/>
            </a:ext>
          </a:extLst>
        </xdr:cNvPr>
        <xdr:cNvSpPr txBox="1"/>
      </xdr:nvSpPr>
      <xdr:spPr>
        <a:xfrm>
          <a:off x="10629900" y="12477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17</xdr:col>
      <xdr:colOff>85725</xdr:colOff>
      <xdr:row>6</xdr:row>
      <xdr:rowOff>180975</xdr:rowOff>
    </xdr:from>
    <xdr:ext cx="351410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F58ACAB-5BA8-4D37-BA91-91F5B33225DD}"/>
            </a:ext>
          </a:extLst>
        </xdr:cNvPr>
        <xdr:cNvSpPr txBox="1"/>
      </xdr:nvSpPr>
      <xdr:spPr>
        <a:xfrm>
          <a:off x="11268075" y="13620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F11"/>
  <sheetViews>
    <sheetView workbookViewId="0">
      <selection sqref="A1:F11"/>
    </sheetView>
  </sheetViews>
  <sheetFormatPr defaultRowHeight="15" x14ac:dyDescent="0.25"/>
  <cols>
    <col min="5" max="5" width="10.140625" bestFit="1" customWidth="1"/>
    <col min="6" max="6" width="14.1406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1"/>
      <c r="E1" s="2" t="s">
        <v>3</v>
      </c>
      <c r="F1" s="3" t="s">
        <v>4</v>
      </c>
    </row>
    <row r="2" spans="1:6" x14ac:dyDescent="0.25">
      <c r="A2" s="2">
        <v>1</v>
      </c>
      <c r="B2" s="2">
        <v>2</v>
      </c>
      <c r="C2" s="2">
        <v>5</v>
      </c>
      <c r="D2" s="1"/>
      <c r="E2" s="2" t="s">
        <v>5</v>
      </c>
      <c r="F2" s="2">
        <f>C2+C5+C7+C11</f>
        <v>15</v>
      </c>
    </row>
    <row r="3" spans="1:6" x14ac:dyDescent="0.25">
      <c r="A3" s="2">
        <v>1</v>
      </c>
      <c r="B3" s="2">
        <v>4</v>
      </c>
      <c r="C3" s="2">
        <v>2</v>
      </c>
      <c r="D3" s="1"/>
      <c r="E3" s="2" t="s">
        <v>6</v>
      </c>
      <c r="F3" s="2">
        <f>C2+C5+C6+C9</f>
        <v>20</v>
      </c>
    </row>
    <row r="4" spans="1:6" x14ac:dyDescent="0.25">
      <c r="A4" s="2">
        <v>1</v>
      </c>
      <c r="B4" s="2">
        <v>5</v>
      </c>
      <c r="C4" s="2">
        <v>3</v>
      </c>
      <c r="D4" s="1"/>
      <c r="E4" s="2" t="s">
        <v>7</v>
      </c>
      <c r="F4" s="2">
        <f>C2+C5+C6+C8+C11</f>
        <v>22</v>
      </c>
    </row>
    <row r="5" spans="1:6" x14ac:dyDescent="0.25">
      <c r="A5" s="2">
        <v>2</v>
      </c>
      <c r="B5" s="2">
        <v>3</v>
      </c>
      <c r="C5" s="2">
        <v>3</v>
      </c>
      <c r="D5" s="1"/>
      <c r="E5" s="4" t="s">
        <v>11</v>
      </c>
      <c r="F5" s="2">
        <f>C3+C9</f>
        <v>9</v>
      </c>
    </row>
    <row r="6" spans="1:6" x14ac:dyDescent="0.25">
      <c r="A6" s="2">
        <v>3</v>
      </c>
      <c r="B6" s="2">
        <v>4</v>
      </c>
      <c r="C6" s="2">
        <v>5</v>
      </c>
      <c r="D6" s="1"/>
      <c r="E6" s="2" t="s">
        <v>8</v>
      </c>
      <c r="F6" s="2">
        <f>C3+C8+C11</f>
        <v>11</v>
      </c>
    </row>
    <row r="7" spans="1:6" x14ac:dyDescent="0.25">
      <c r="A7" s="2">
        <v>3</v>
      </c>
      <c r="B7" s="2">
        <v>6</v>
      </c>
      <c r="C7" s="2">
        <v>2</v>
      </c>
      <c r="D7" s="1"/>
      <c r="E7" s="5" t="s">
        <v>10</v>
      </c>
      <c r="F7" s="2">
        <f>C4+C10</f>
        <v>6</v>
      </c>
    </row>
    <row r="8" spans="1:6" x14ac:dyDescent="0.25">
      <c r="A8" s="2">
        <v>4</v>
      </c>
      <c r="B8" s="2">
        <v>6</v>
      </c>
      <c r="C8" s="2">
        <v>4</v>
      </c>
      <c r="D8" s="1"/>
      <c r="E8" s="2"/>
      <c r="F8" s="2"/>
    </row>
    <row r="9" spans="1:6" x14ac:dyDescent="0.25">
      <c r="A9" s="2">
        <v>4</v>
      </c>
      <c r="B9" s="2">
        <v>7</v>
      </c>
      <c r="C9" s="2">
        <v>7</v>
      </c>
      <c r="D9" s="1"/>
      <c r="E9" s="2" t="s">
        <v>9</v>
      </c>
      <c r="F9" s="2">
        <f>MIN(F2:F7)</f>
        <v>6</v>
      </c>
    </row>
    <row r="10" spans="1:6" x14ac:dyDescent="0.25">
      <c r="A10" s="2">
        <v>5</v>
      </c>
      <c r="B10" s="2">
        <v>7</v>
      </c>
      <c r="C10" s="2">
        <v>3</v>
      </c>
      <c r="D10" s="1"/>
      <c r="E10" s="2"/>
      <c r="F10" s="2"/>
    </row>
    <row r="11" spans="1:6" x14ac:dyDescent="0.25">
      <c r="A11" s="2">
        <v>6</v>
      </c>
      <c r="B11" s="2">
        <v>7</v>
      </c>
      <c r="C11" s="2">
        <v>5</v>
      </c>
      <c r="D11" s="1"/>
      <c r="E11" s="2"/>
      <c r="F11" s="2"/>
    </row>
  </sheetData>
  <pageMargins left="0.7" right="0.7" top="0.75" bottom="0.75" header="0.3" footer="0.3"/>
  <ignoredErrors>
    <ignoredError sqref="E5 E7" twoDigitTextYea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3620-3E59-4810-B326-8EC2BC80597A}">
  <sheetPr codeName="Лист2"/>
  <dimension ref="A1:F11"/>
  <sheetViews>
    <sheetView workbookViewId="0">
      <selection activeCell="P26" sqref="P26"/>
    </sheetView>
  </sheetViews>
  <sheetFormatPr defaultRowHeight="15" x14ac:dyDescent="0.25"/>
  <cols>
    <col min="4" max="5" width="13.28515625" bestFit="1" customWidth="1"/>
    <col min="6" max="6" width="13.140625" bestFit="1" customWidth="1"/>
  </cols>
  <sheetData>
    <row r="1" spans="1:6" ht="18" x14ac:dyDescent="0.25">
      <c r="A1" s="2" t="s">
        <v>0</v>
      </c>
      <c r="B1" s="2" t="s">
        <v>1</v>
      </c>
      <c r="C1" s="2" t="s">
        <v>2</v>
      </c>
      <c r="D1" s="2" t="s">
        <v>12</v>
      </c>
      <c r="E1" s="2" t="s">
        <v>13</v>
      </c>
      <c r="F1" s="2" t="s">
        <v>14</v>
      </c>
    </row>
    <row r="2" spans="1:6" x14ac:dyDescent="0.25">
      <c r="A2" s="2">
        <v>1</v>
      </c>
      <c r="B2" s="2">
        <v>2</v>
      </c>
      <c r="C2" s="2">
        <v>5</v>
      </c>
      <c r="D2" s="6">
        <v>0</v>
      </c>
      <c r="E2" s="6">
        <f>D2+D3+D4</f>
        <v>1</v>
      </c>
      <c r="F2" s="6">
        <f>SUMPRODUCT(C2:C11,D2:D11)</f>
        <v>6</v>
      </c>
    </row>
    <row r="3" spans="1:6" x14ac:dyDescent="0.25">
      <c r="A3" s="2">
        <v>1</v>
      </c>
      <c r="B3" s="2">
        <v>4</v>
      </c>
      <c r="C3" s="2">
        <v>2</v>
      </c>
      <c r="D3" s="6">
        <v>0</v>
      </c>
      <c r="E3" s="6">
        <f>D2-D5</f>
        <v>0</v>
      </c>
      <c r="F3" s="6"/>
    </row>
    <row r="4" spans="1:6" x14ac:dyDescent="0.25">
      <c r="A4" s="2">
        <v>1</v>
      </c>
      <c r="B4" s="2">
        <v>5</v>
      </c>
      <c r="C4" s="2">
        <v>3</v>
      </c>
      <c r="D4" s="6">
        <v>1</v>
      </c>
      <c r="E4" s="6">
        <f>D5-D6-D7</f>
        <v>0</v>
      </c>
      <c r="F4" s="6"/>
    </row>
    <row r="5" spans="1:6" x14ac:dyDescent="0.25">
      <c r="A5" s="2">
        <v>2</v>
      </c>
      <c r="B5" s="2">
        <v>3</v>
      </c>
      <c r="C5" s="2">
        <v>3</v>
      </c>
      <c r="D5" s="6">
        <v>0</v>
      </c>
      <c r="E5" s="6">
        <f>D3+D6-D8-D9</f>
        <v>0</v>
      </c>
      <c r="F5" s="6"/>
    </row>
    <row r="6" spans="1:6" x14ac:dyDescent="0.25">
      <c r="A6" s="2">
        <v>3</v>
      </c>
      <c r="B6" s="2">
        <v>4</v>
      </c>
      <c r="C6" s="2">
        <v>5</v>
      </c>
      <c r="D6" s="6">
        <v>0</v>
      </c>
      <c r="E6" s="6">
        <f>D4-D10</f>
        <v>0</v>
      </c>
      <c r="F6" s="6"/>
    </row>
    <row r="7" spans="1:6" x14ac:dyDescent="0.25">
      <c r="A7" s="2">
        <v>3</v>
      </c>
      <c r="B7" s="2">
        <v>6</v>
      </c>
      <c r="C7" s="2">
        <v>2</v>
      </c>
      <c r="D7" s="6">
        <v>0</v>
      </c>
      <c r="E7" s="6">
        <f>D7+D8-D11</f>
        <v>0</v>
      </c>
      <c r="F7" s="6"/>
    </row>
    <row r="8" spans="1:6" x14ac:dyDescent="0.25">
      <c r="A8" s="2">
        <v>4</v>
      </c>
      <c r="B8" s="2">
        <v>6</v>
      </c>
      <c r="C8" s="2">
        <v>4</v>
      </c>
      <c r="D8" s="6">
        <v>0</v>
      </c>
      <c r="E8" s="6">
        <f>D9+D10+D11</f>
        <v>1</v>
      </c>
      <c r="F8" s="6"/>
    </row>
    <row r="9" spans="1:6" x14ac:dyDescent="0.25">
      <c r="A9" s="2">
        <v>4</v>
      </c>
      <c r="B9" s="2">
        <v>7</v>
      </c>
      <c r="C9" s="2">
        <v>7</v>
      </c>
      <c r="D9" s="6">
        <v>0</v>
      </c>
      <c r="E9" s="6"/>
      <c r="F9" s="6"/>
    </row>
    <row r="10" spans="1:6" x14ac:dyDescent="0.25">
      <c r="A10" s="2">
        <v>5</v>
      </c>
      <c r="B10" s="2">
        <v>7</v>
      </c>
      <c r="C10" s="2">
        <v>3</v>
      </c>
      <c r="D10" s="6">
        <v>1</v>
      </c>
      <c r="E10" s="6"/>
      <c r="F10" s="6"/>
    </row>
    <row r="11" spans="1:6" x14ac:dyDescent="0.25">
      <c r="A11" s="2">
        <v>6</v>
      </c>
      <c r="B11" s="2">
        <v>7</v>
      </c>
      <c r="C11" s="2">
        <v>5</v>
      </c>
      <c r="D11" s="6">
        <v>0</v>
      </c>
      <c r="E11" s="6"/>
      <c r="F11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E3B7-D3A7-46DA-9848-74E7C52F5876}">
  <dimension ref="A1:J18"/>
  <sheetViews>
    <sheetView tabSelected="1" topLeftCell="F1" workbookViewId="0">
      <selection activeCell="J28" sqref="J28"/>
    </sheetView>
  </sheetViews>
  <sheetFormatPr defaultRowHeight="15" x14ac:dyDescent="0.25"/>
  <cols>
    <col min="5" max="5" width="10.42578125" customWidth="1"/>
    <col min="6" max="6" width="12.85546875" customWidth="1"/>
  </cols>
  <sheetData>
    <row r="1" spans="1:6" ht="34.5" customHeight="1" x14ac:dyDescent="0.25">
      <c r="A1" s="2" t="s">
        <v>0</v>
      </c>
      <c r="B1" s="2" t="s">
        <v>1</v>
      </c>
      <c r="C1" s="2" t="s">
        <v>2</v>
      </c>
      <c r="D1" s="1"/>
      <c r="E1" s="2" t="s">
        <v>15</v>
      </c>
      <c r="F1" s="3" t="s">
        <v>16</v>
      </c>
    </row>
    <row r="2" spans="1:6" x14ac:dyDescent="0.25">
      <c r="A2" s="2">
        <v>1</v>
      </c>
      <c r="B2" s="2">
        <v>2</v>
      </c>
      <c r="C2" s="2">
        <v>5</v>
      </c>
      <c r="D2" s="1"/>
      <c r="E2" s="2" t="s">
        <v>5</v>
      </c>
      <c r="F2" s="2">
        <v>2</v>
      </c>
    </row>
    <row r="3" spans="1:6" x14ac:dyDescent="0.25">
      <c r="A3" s="2">
        <v>1</v>
      </c>
      <c r="B3" s="2">
        <v>4</v>
      </c>
      <c r="C3" s="2">
        <v>2</v>
      </c>
      <c r="D3" s="1"/>
      <c r="E3" s="2" t="s">
        <v>7</v>
      </c>
      <c r="F3" s="2">
        <v>1</v>
      </c>
    </row>
    <row r="4" spans="1:6" x14ac:dyDescent="0.25">
      <c r="A4" s="2">
        <v>1</v>
      </c>
      <c r="B4" s="2">
        <v>5</v>
      </c>
      <c r="C4" s="2">
        <v>3</v>
      </c>
      <c r="D4" s="1"/>
      <c r="E4" s="2" t="s">
        <v>6</v>
      </c>
      <c r="F4" s="2" t="s">
        <v>17</v>
      </c>
    </row>
    <row r="5" spans="1:6" x14ac:dyDescent="0.25">
      <c r="A5" s="2">
        <v>2</v>
      </c>
      <c r="B5" s="2">
        <v>3</v>
      </c>
      <c r="C5" s="2">
        <v>3</v>
      </c>
      <c r="D5" s="1"/>
      <c r="E5" s="4" t="s">
        <v>11</v>
      </c>
      <c r="F5" s="2">
        <v>2</v>
      </c>
    </row>
    <row r="6" spans="1:6" x14ac:dyDescent="0.25">
      <c r="A6" s="2">
        <v>3</v>
      </c>
      <c r="B6" s="2">
        <v>4</v>
      </c>
      <c r="C6" s="2">
        <v>5</v>
      </c>
      <c r="D6" s="1"/>
      <c r="E6" s="2" t="s">
        <v>8</v>
      </c>
      <c r="F6" s="2" t="s">
        <v>17</v>
      </c>
    </row>
    <row r="7" spans="1:6" x14ac:dyDescent="0.25">
      <c r="A7" s="2">
        <v>3</v>
      </c>
      <c r="B7" s="2">
        <v>6</v>
      </c>
      <c r="C7" s="2">
        <v>2</v>
      </c>
      <c r="D7" s="1"/>
      <c r="E7" s="5" t="s">
        <v>10</v>
      </c>
      <c r="F7" s="2">
        <v>3</v>
      </c>
    </row>
    <row r="8" spans="1:6" x14ac:dyDescent="0.25">
      <c r="A8" s="2">
        <v>4</v>
      </c>
      <c r="B8" s="2">
        <v>6</v>
      </c>
      <c r="C8" s="2">
        <v>4</v>
      </c>
      <c r="D8" s="1"/>
      <c r="E8" s="2"/>
      <c r="F8" s="2"/>
    </row>
    <row r="9" spans="1:6" x14ac:dyDescent="0.25">
      <c r="A9" s="2">
        <v>4</v>
      </c>
      <c r="B9" s="2">
        <v>7</v>
      </c>
      <c r="C9" s="2">
        <v>7</v>
      </c>
      <c r="D9" s="1"/>
      <c r="E9" s="2"/>
      <c r="F9" s="2">
        <v>13</v>
      </c>
    </row>
    <row r="10" spans="1:6" x14ac:dyDescent="0.25">
      <c r="A10" s="2">
        <v>5</v>
      </c>
      <c r="B10" s="2">
        <v>7</v>
      </c>
      <c r="C10" s="2">
        <v>3</v>
      </c>
      <c r="D10" s="1"/>
      <c r="E10" s="2"/>
      <c r="F10" s="2"/>
    </row>
    <row r="11" spans="1:6" x14ac:dyDescent="0.25">
      <c r="A11" s="2">
        <v>6</v>
      </c>
      <c r="B11" s="2">
        <v>7</v>
      </c>
      <c r="C11" s="2">
        <v>5</v>
      </c>
      <c r="D11" s="1"/>
      <c r="E11" s="2"/>
      <c r="F11" s="2"/>
    </row>
    <row r="15" spans="1:6" x14ac:dyDescent="0.25">
      <c r="C15" t="s">
        <v>18</v>
      </c>
      <c r="D15" t="s">
        <v>19</v>
      </c>
    </row>
    <row r="17" spans="4:10" x14ac:dyDescent="0.25">
      <c r="D17">
        <f>C5+C3+C4+C7+C10</f>
        <v>13</v>
      </c>
    </row>
    <row r="18" spans="4:10" x14ac:dyDescent="0.25">
      <c r="J18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61CA-E75A-4E45-BA2C-EBFD8D5D5E2A}">
  <sheetPr codeName="Лист3"/>
  <dimension ref="C4:S33"/>
  <sheetViews>
    <sheetView topLeftCell="A4" workbookViewId="0">
      <selection activeCell="K5" sqref="K5"/>
    </sheetView>
  </sheetViews>
  <sheetFormatPr defaultRowHeight="15" x14ac:dyDescent="0.25"/>
  <sheetData>
    <row r="4" spans="3:19" x14ac:dyDescent="0.25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3:19" x14ac:dyDescent="0.25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3:19" x14ac:dyDescent="0.25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3:19" x14ac:dyDescent="0.25"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3:19" x14ac:dyDescent="0.25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3:19" x14ac:dyDescent="0.25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3:19" x14ac:dyDescent="0.25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3:19" x14ac:dyDescent="0.25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3:19" x14ac:dyDescent="0.25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3:19" x14ac:dyDescent="0.25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3:19" x14ac:dyDescent="0.25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3:19" x14ac:dyDescent="0.25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3:19" x14ac:dyDescent="0.25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3:19" x14ac:dyDescent="0.25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3:19" x14ac:dyDescent="0.25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3:19" x14ac:dyDescent="0.25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3:19" x14ac:dyDescent="0.25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3:19" ht="15.75" customHeight="1" x14ac:dyDescent="0.25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3:19" x14ac:dyDescent="0.25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3:19" x14ac:dyDescent="0.25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3:19" x14ac:dyDescent="0.25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3:19" x14ac:dyDescent="0.25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3:19" x14ac:dyDescent="0.25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3:19" x14ac:dyDescent="0.25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3:19" x14ac:dyDescent="0.25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3:19" x14ac:dyDescent="0.25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3:19" x14ac:dyDescent="0.25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3:19" x14ac:dyDescent="0.25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3:19" x14ac:dyDescent="0.25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3:19" x14ac:dyDescent="0.2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7E9D-F5BB-4AD2-877F-96FDFF46353A}">
  <dimension ref="A1:F11"/>
  <sheetViews>
    <sheetView workbookViewId="0">
      <selection activeCell="I29" sqref="I29"/>
    </sheetView>
  </sheetViews>
  <sheetFormatPr defaultRowHeight="15" x14ac:dyDescent="0.25"/>
  <sheetData>
    <row r="1" spans="1:6" ht="18" x14ac:dyDescent="0.25">
      <c r="A1" s="2" t="s">
        <v>0</v>
      </c>
      <c r="B1" s="2" t="s">
        <v>1</v>
      </c>
      <c r="C1" s="2" t="s">
        <v>2</v>
      </c>
      <c r="D1" s="2" t="s">
        <v>12</v>
      </c>
      <c r="E1" s="2" t="s">
        <v>13</v>
      </c>
      <c r="F1" s="2" t="s">
        <v>20</v>
      </c>
    </row>
    <row r="2" spans="1:6" x14ac:dyDescent="0.25">
      <c r="A2" s="2">
        <v>1</v>
      </c>
      <c r="B2" s="2">
        <v>2</v>
      </c>
      <c r="C2" s="2">
        <v>5</v>
      </c>
      <c r="D2" s="6">
        <v>3</v>
      </c>
      <c r="E2" s="6">
        <f>D2+D3+D4-D8-D9-D10</f>
        <v>0</v>
      </c>
      <c r="F2" s="6">
        <f>SUM(D2:D11)</f>
        <v>26</v>
      </c>
    </row>
    <row r="3" spans="1:6" x14ac:dyDescent="0.25">
      <c r="A3" s="2">
        <v>1</v>
      </c>
      <c r="B3" s="2">
        <v>4</v>
      </c>
      <c r="C3" s="2">
        <v>2</v>
      </c>
      <c r="D3" s="6">
        <v>2</v>
      </c>
      <c r="E3" s="6">
        <f>D2-D5</f>
        <v>0</v>
      </c>
      <c r="F3" s="6"/>
    </row>
    <row r="4" spans="1:6" x14ac:dyDescent="0.25">
      <c r="A4" s="2">
        <v>1</v>
      </c>
      <c r="B4" s="2">
        <v>5</v>
      </c>
      <c r="C4" s="2">
        <v>3</v>
      </c>
      <c r="D4" s="6">
        <v>3</v>
      </c>
      <c r="E4" s="6">
        <f>D5-D6-D7</f>
        <v>0</v>
      </c>
      <c r="F4" s="6"/>
    </row>
    <row r="5" spans="1:6" x14ac:dyDescent="0.25">
      <c r="A5" s="2">
        <v>2</v>
      </c>
      <c r="B5" s="2">
        <v>3</v>
      </c>
      <c r="C5" s="2">
        <v>3</v>
      </c>
      <c r="D5" s="6">
        <v>3</v>
      </c>
      <c r="E5" s="6">
        <f>D3+D6-D8-D9</f>
        <v>0</v>
      </c>
      <c r="F5" s="6"/>
    </row>
    <row r="6" spans="1:6" x14ac:dyDescent="0.25">
      <c r="A6" s="2">
        <v>3</v>
      </c>
      <c r="B6" s="2">
        <v>4</v>
      </c>
      <c r="C6" s="2">
        <v>5</v>
      </c>
      <c r="D6" s="6">
        <v>3</v>
      </c>
      <c r="E6" s="6">
        <f>D4-D10</f>
        <v>0</v>
      </c>
      <c r="F6" s="6"/>
    </row>
    <row r="7" spans="1:6" x14ac:dyDescent="0.25">
      <c r="A7" s="2">
        <v>3</v>
      </c>
      <c r="B7" s="2">
        <v>6</v>
      </c>
      <c r="C7" s="2">
        <v>2</v>
      </c>
      <c r="D7" s="6">
        <v>0</v>
      </c>
      <c r="E7" s="6">
        <f>D7+D8-D11</f>
        <v>0</v>
      </c>
      <c r="F7" s="6"/>
    </row>
    <row r="8" spans="1:6" x14ac:dyDescent="0.25">
      <c r="A8" s="2">
        <v>4</v>
      </c>
      <c r="B8" s="2">
        <v>6</v>
      </c>
      <c r="C8" s="2">
        <v>4</v>
      </c>
      <c r="D8" s="6">
        <v>4</v>
      </c>
      <c r="E8" s="6">
        <v>0</v>
      </c>
      <c r="F8" s="6"/>
    </row>
    <row r="9" spans="1:6" x14ac:dyDescent="0.25">
      <c r="A9" s="2">
        <v>4</v>
      </c>
      <c r="B9" s="2">
        <v>7</v>
      </c>
      <c r="C9" s="2">
        <v>7</v>
      </c>
      <c r="D9" s="6">
        <v>1</v>
      </c>
      <c r="E9" s="6"/>
      <c r="F9" s="6"/>
    </row>
    <row r="10" spans="1:6" x14ac:dyDescent="0.25">
      <c r="A10" s="2">
        <v>5</v>
      </c>
      <c r="B10" s="2">
        <v>7</v>
      </c>
      <c r="C10" s="2">
        <v>3</v>
      </c>
      <c r="D10" s="6">
        <v>3</v>
      </c>
      <c r="E10" s="6"/>
      <c r="F10" s="6"/>
    </row>
    <row r="11" spans="1:6" x14ac:dyDescent="0.25">
      <c r="A11" s="2">
        <v>6</v>
      </c>
      <c r="B11" s="2">
        <v>7</v>
      </c>
      <c r="C11" s="2">
        <v>5</v>
      </c>
      <c r="D11" s="6">
        <v>4</v>
      </c>
      <c r="E11" s="6"/>
      <c r="F1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Сетевой график</vt:lpstr>
      <vt:lpstr>Поиск решения</vt:lpstr>
      <vt:lpstr>Алгоритм Ф-Ф</vt:lpstr>
      <vt:lpstr>Построение сетевого графика</vt:lpstr>
      <vt:lpstr>Поиск решения МП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2026-02-20T09:36:59Z</dcterms:modified>
</cp:coreProperties>
</file>