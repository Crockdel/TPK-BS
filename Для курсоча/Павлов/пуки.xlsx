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5636C43E-11D3-41E3-B102-C1C8481BCEB8}" xr6:coauthVersionLast="47" xr6:coauthVersionMax="47" xr10:uidLastSave="{00000000-0000-0000-0000-000000000000}"/>
  <bookViews>
    <workbookView xWindow="-120" yWindow="330" windowWidth="29040" windowHeight="15390" activeTab="5" xr2:uid="{00000000-000D-0000-FFFF-FFFF00000000}"/>
  </bookViews>
  <sheets>
    <sheet name="Мат.модель" sheetId="1" r:id="rId1"/>
    <sheet name="С-З угол" sheetId="2" r:id="rId2"/>
    <sheet name="Наим.стоимость" sheetId="3" r:id="rId3"/>
    <sheet name="Метод потенциалов" sheetId="4" r:id="rId4"/>
    <sheet name="Поиск решения" sheetId="5" r:id="rId5"/>
    <sheet name="Лист1" sheetId="6" r:id="rId6"/>
  </sheets>
  <definedNames>
    <definedName name="solver_adj" localSheetId="4" hidden="1">'Поиск решения'!$B$11:$F$13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'Поиск решения'!$B$11:$F$13</definedName>
    <definedName name="solver_lhs2" localSheetId="4" hidden="1">'Поиск решения'!$B$14:$F$14</definedName>
    <definedName name="solver_lhs3" localSheetId="4" hidden="1">'Поиск решения'!$G$11:$G$13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3</definedName>
    <definedName name="solver_nwt" localSheetId="4" hidden="1">1</definedName>
    <definedName name="solver_opt" localSheetId="4" hidden="1">'Поиск решения'!$B$16</definedName>
    <definedName name="solver_pre" localSheetId="4" hidden="1">0.000001</definedName>
    <definedName name="solver_rbv" localSheetId="4" hidden="1">1</definedName>
    <definedName name="solver_rel1" localSheetId="4" hidden="1">4</definedName>
    <definedName name="solver_rel2" localSheetId="4" hidden="1">2</definedName>
    <definedName name="solver_rel3" localSheetId="4" hidden="1">2</definedName>
    <definedName name="solver_rhs1" localSheetId="4" hidden="1">"целое"</definedName>
    <definedName name="solver_rhs2" localSheetId="4" hidden="1">'Поиск решения'!$B$6:$F$6</definedName>
    <definedName name="solver_rhs3" localSheetId="4" hidden="1">'Поиск решения'!$G$3:$G$5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6" l="1"/>
  <c r="G20" i="6"/>
  <c r="G19" i="6"/>
  <c r="G16" i="6"/>
  <c r="G15" i="6"/>
  <c r="G12" i="6"/>
  <c r="G11" i="6"/>
  <c r="B16" i="5"/>
  <c r="G12" i="5"/>
  <c r="G13" i="5"/>
  <c r="G11" i="5"/>
  <c r="C14" i="5"/>
  <c r="D14" i="5"/>
  <c r="E14" i="5"/>
  <c r="F14" i="5"/>
  <c r="B14" i="5"/>
  <c r="B33" i="4"/>
  <c r="B11" i="3"/>
  <c r="B11" i="2"/>
  <c r="G10" i="1"/>
  <c r="H9" i="1"/>
</calcChain>
</file>

<file path=xl/sharedStrings.xml><?xml version="1.0" encoding="utf-8"?>
<sst xmlns="http://schemas.openxmlformats.org/spreadsheetml/2006/main" count="135" uniqueCount="43">
  <si>
    <t>Поставщики</t>
  </si>
  <si>
    <t>Потребители</t>
  </si>
  <si>
    <t>Запасы</t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</si>
  <si>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</si>
  <si>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</si>
  <si>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</si>
  <si>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</si>
  <si>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</si>
  <si>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</si>
  <si>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</si>
  <si>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</si>
  <si>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Потребности</t>
  </si>
  <si>
    <t>190, к</t>
  </si>
  <si>
    <t>100, 90, к</t>
  </si>
  <si>
    <t>200, 10, к</t>
  </si>
  <si>
    <t>120, к</t>
  </si>
  <si>
    <t>250, 160, 40, к</t>
  </si>
  <si>
    <t>110, 70, к</t>
  </si>
  <si>
    <t>200, 130, к</t>
  </si>
  <si>
    <t>130, к</t>
  </si>
  <si>
    <t>F(X) =</t>
  </si>
  <si>
    <t>110, к</t>
  </si>
  <si>
    <t>130, 70, к</t>
  </si>
  <si>
    <t>200, 110, к</t>
  </si>
  <si>
    <t>250, 60, к</t>
  </si>
  <si>
    <t>200, 80, 10, к</t>
  </si>
  <si>
    <r>
      <t>Поставщики, u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</si>
  <si>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Потребители, v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</si>
  <si>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 xml:space="preserve">10          </t>
    </r>
    <r>
      <rPr>
        <sz val="11"/>
        <color rgb="FFFF0000"/>
        <rFont val="Calibri"/>
        <family val="2"/>
        <charset val="204"/>
        <scheme val="minor"/>
      </rPr>
      <t>+</t>
    </r>
  </si>
  <si>
    <r>
      <t xml:space="preserve">120      </t>
    </r>
    <r>
      <rPr>
        <sz val="11"/>
        <color rgb="FFFF0000"/>
        <rFont val="Calibri"/>
        <family val="2"/>
        <charset val="204"/>
        <scheme val="minor"/>
      </rPr>
      <t>-</t>
    </r>
  </si>
  <si>
    <r>
      <t xml:space="preserve">90        </t>
    </r>
    <r>
      <rPr>
        <sz val="11"/>
        <color rgb="FFFF0000"/>
        <rFont val="Calibri"/>
        <family val="2"/>
        <charset val="204"/>
        <scheme val="minor"/>
      </rPr>
      <t>-</t>
    </r>
  </si>
  <si>
    <r>
      <t xml:space="preserve">      </t>
    </r>
    <r>
      <rPr>
        <sz val="11"/>
        <color rgb="FFFF0000"/>
        <rFont val="Calibri"/>
        <family val="2"/>
        <charset val="204"/>
        <scheme val="minor"/>
      </rPr>
      <t>+</t>
    </r>
  </si>
  <si>
    <t xml:space="preserve">   </t>
  </si>
  <si>
    <t>Затраты времени на обработку одного изделия, ч.</t>
  </si>
  <si>
    <t>Тип оборудования</t>
  </si>
  <si>
    <t>A</t>
  </si>
  <si>
    <t>B</t>
  </si>
  <si>
    <t>Затраты на производство одного изделия, тыс.руб.</t>
  </si>
  <si>
    <t>Пусть x - кол-во изделий вида А, которое нужно изготовить</t>
  </si>
  <si>
    <t>Пусть у - кол-во изделий вида В, которое нужно изготовить</t>
  </si>
  <si>
    <t>x</t>
  </si>
  <si>
    <t>y</t>
  </si>
  <si>
    <t xml:space="preserve">F(x,y)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</si>
</sst>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indexed="64"/>
      </top>
      <bottom style="thin">
        <color rgb="FF7030A0"/>
      </bottom>
      <diagonal/>
    </border>
    <border>
      <left style="thin">
        <color indexed="64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/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7" fillId="0" borderId="0" xfId="0" applyFont="1"/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0" xfId="0" applyFont="1"/>
    <xf numFmtId="0" fontId="7" fillId="0" borderId="10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6A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Лист1!$E$10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Лист1!$F$11:$F$12</c:f>
              <c:numCache>
                <c:formatCode>General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xVal>
          <c:yVal>
            <c:numRef>
              <c:f>Лист1!$G$11:$G$12</c:f>
              <c:numCache>
                <c:formatCode>General</c:formatCode>
                <c:ptCount val="2"/>
                <c:pt idx="0">
                  <c:v>3.5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4C-4556-931E-B28514889266}"/>
            </c:ext>
          </c:extLst>
        </c:ser>
        <c:ser>
          <c:idx val="1"/>
          <c:order val="1"/>
          <c:tx>
            <c:strRef>
              <c:f>Лист1!$E$14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Лист1!$F$15:$F$16</c:f>
              <c:numCache>
                <c:formatCode>General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xVal>
          <c:yVal>
            <c:numRef>
              <c:f>Лист1!$G$15:$G$16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1-4D1A-B048-757791A7DFA7}"/>
            </c:ext>
          </c:extLst>
        </c:ser>
        <c:ser>
          <c:idx val="2"/>
          <c:order val="2"/>
          <c:tx>
            <c:strRef>
              <c:f>Лист1!$E$18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Лист1!$F$19:$F$20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Лист1!$G$19:$G$20</c:f>
              <c:numCache>
                <c:formatCode>General</c:formatCode>
                <c:ptCount val="2"/>
                <c:pt idx="0">
                  <c:v>13</c:v>
                </c:pt>
                <c:pt idx="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1-4D1A-B048-757791A7DFA7}"/>
            </c:ext>
          </c:extLst>
        </c:ser>
        <c:ser>
          <c:idx val="3"/>
          <c:order val="3"/>
          <c:tx>
            <c:strRef>
              <c:f>Лист1!$E$22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Лист1!$F$23:$F$24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Лист1!$G$23:$G$24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1-4D1A-B048-757791A7DFA7}"/>
            </c:ext>
          </c:extLst>
        </c:ser>
        <c:ser>
          <c:idx val="4"/>
          <c:order val="4"/>
          <c:tx>
            <c:strRef>
              <c:f>Лист1!$E$26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Лист1!$F$27:$F$28</c:f>
              <c:numCache>
                <c:formatCode>General</c:formatCode>
                <c:ptCount val="2"/>
                <c:pt idx="0">
                  <c:v>-1</c:v>
                </c:pt>
                <c:pt idx="1">
                  <c:v>5</c:v>
                </c:pt>
              </c:numCache>
            </c:numRef>
          </c:xVal>
          <c:yVal>
            <c:numRef>
              <c:f>Лист1!$G$27:$G$28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41-4D1A-B048-757791A7D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29663"/>
        <c:axId val="1046821503"/>
      </c:scatterChart>
      <c:valAx>
        <c:axId val="104682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6821503"/>
        <c:crosses val="autoZero"/>
        <c:crossBetween val="midCat"/>
      </c:valAx>
      <c:valAx>
        <c:axId val="10468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682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241268</xdr:colOff>
      <xdr:row>10</xdr:row>
      <xdr:rowOff>98901</xdr:rowOff>
    </xdr:from>
    <xdr:ext cx="2249718" cy="1626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85A6D51-8877-E536-475C-D95AC082CB45}"/>
                </a:ext>
              </a:extLst>
            </xdr:cNvPr>
            <xdr:cNvSpPr txBox="1"/>
          </xdr:nvSpPr>
          <xdr:spPr>
            <a:xfrm>
              <a:off x="241268" y="2156301"/>
              <a:ext cx="2249718" cy="1626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=200;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=250;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=200;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=190;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=100;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=120;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=110;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=130;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𝑖𝑗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≥0;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</m:t>
                            </m:r>
                            <m:bar>
                              <m:barPr>
                                <m:pos m:val="top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1,3</m:t>
                                </m:r>
                              </m:e>
                            </m:ba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 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</m:t>
                            </m:r>
                            <m:bar>
                              <m:barPr>
                                <m:pos m:val="top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1,5</m:t>
                                </m:r>
                              </m:e>
                            </m:ba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85A6D51-8877-E536-475C-D95AC082CB45}"/>
                </a:ext>
              </a:extLst>
            </xdr:cNvPr>
            <xdr:cNvSpPr txBox="1"/>
          </xdr:nvSpPr>
          <xdr:spPr>
            <a:xfrm>
              <a:off x="241268" y="2156301"/>
              <a:ext cx="2249718" cy="1626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5=200;@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5=2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5=200;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11+𝑥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0;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@𝑥_𝑖𝑗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≥0;𝑖=¯1,3    𝑗=¯1,5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126968</xdr:colOff>
      <xdr:row>20</xdr:row>
      <xdr:rowOff>79851</xdr:rowOff>
    </xdr:from>
    <xdr:ext cx="4587794" cy="3785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47E1C02-0FB6-20C9-B9E0-0DBC095DFF0E}"/>
                </a:ext>
              </a:extLst>
            </xdr:cNvPr>
            <xdr:cNvSpPr txBox="1"/>
          </xdr:nvSpPr>
          <xdr:spPr>
            <a:xfrm>
              <a:off x="126968" y="4042251"/>
              <a:ext cx="4587794" cy="378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bar>
                      <m:barPr>
                        <m:pos m:val="top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d>
                      </m:e>
                    </m:bar>
                    <m:r>
                      <a:rPr lang="ru-RU" sz="1100" b="0" i="1">
                        <a:latin typeface="Cambria Math" panose="02040503050406030204" pitchFamily="18" charset="0"/>
                      </a:rPr>
                      <m:t>=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28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+27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12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+18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13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7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4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22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</m:oMath>
                </m:oMathPara>
              </a14:m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r>
                <a:rPr lang="ru-RU" sz="1100"/>
                <a:t> + 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2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7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23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32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24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21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25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+2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7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31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33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32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23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33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31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34</m:t>
                      </m:r>
                    </m:sub>
                  </m:sSub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+34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35</m:t>
                      </m:r>
                    </m:sub>
                  </m:sSub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𝑚𝑖𝑛</m:t>
                  </m:r>
                </m:oMath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47E1C02-0FB6-20C9-B9E0-0DBC095DFF0E}"/>
                </a:ext>
              </a:extLst>
            </xdr:cNvPr>
            <xdr:cNvSpPr txBox="1"/>
          </xdr:nvSpPr>
          <xdr:spPr>
            <a:xfrm>
              <a:off x="126968" y="4042251"/>
              <a:ext cx="4587794" cy="378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𝐹¯((𝑋) )</a:t>
              </a:r>
              <a:r>
                <a:rPr lang="ru-RU" sz="1100" b="0" i="0">
                  <a:latin typeface="Cambria Math" panose="02040503050406030204" pitchFamily="18" charset="0"/>
                </a:rPr>
                <a:t>=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28𝑥_11+27𝑥_12+18𝑥_13+2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r>
                <a:rPr lang="ru-RU" sz="1100"/>
                <a:t> +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34+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𝑚𝑖𝑛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12668</xdr:colOff>
      <xdr:row>1</xdr:row>
      <xdr:rowOff>98901</xdr:rowOff>
    </xdr:from>
    <xdr:ext cx="957505" cy="12049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ECD073-492E-FFCE-C44F-8A275D25CD5D}"/>
                </a:ext>
              </a:extLst>
            </xdr:cNvPr>
            <xdr:cNvSpPr txBox="1"/>
          </xdr:nvSpPr>
          <xdr:spPr>
            <a:xfrm>
              <a:off x="4889468" y="327501"/>
              <a:ext cx="957505" cy="12049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=27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=18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=24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=18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=21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=33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=31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ECD073-492E-FFCE-C44F-8A275D25CD5D}"/>
                </a:ext>
              </a:extLst>
            </xdr:cNvPr>
            <xdr:cNvSpPr txBox="1"/>
          </xdr:nvSpPr>
          <xdr:spPr>
            <a:xfrm>
              <a:off x="4889468" y="327501"/>
              <a:ext cx="957505" cy="12049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𝑢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2=27@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24@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21@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33@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23</xdr:col>
      <xdr:colOff>152400</xdr:colOff>
      <xdr:row>0</xdr:row>
      <xdr:rowOff>114301</xdr:rowOff>
    </xdr:from>
    <xdr:to>
      <xdr:col>28</xdr:col>
      <xdr:colOff>581026</xdr:colOff>
      <xdr:row>3</xdr:row>
      <xdr:rowOff>152400</xdr:rowOff>
    </xdr:to>
    <xdr:sp macro="" textlink="">
      <xdr:nvSpPr>
        <xdr:cNvPr id="3" name="Солнце 2">
          <a:extLst>
            <a:ext uri="{FF2B5EF4-FFF2-40B4-BE49-F238E27FC236}">
              <a16:creationId xmlns:a16="http://schemas.microsoft.com/office/drawing/2014/main" id="{4CF0920E-741D-F341-F25B-7BD21810CFA1}"/>
            </a:ext>
          </a:extLst>
        </xdr:cNvPr>
        <xdr:cNvSpPr/>
      </xdr:nvSpPr>
      <xdr:spPr>
        <a:xfrm>
          <a:off x="14173200" y="114301"/>
          <a:ext cx="3476626" cy="685799"/>
        </a:xfrm>
        <a:prstGeom prst="sun">
          <a:avLst>
            <a:gd name="adj" fmla="val 12500"/>
          </a:avLst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eepy ird</a:t>
          </a:r>
          <a:endParaRPr lang="ru-RU" sz="1100"/>
        </a:p>
      </xdr:txBody>
    </xdr:sp>
    <xdr:clientData/>
  </xdr:twoCellAnchor>
  <xdr:twoCellAnchor>
    <xdr:from>
      <xdr:col>3</xdr:col>
      <xdr:colOff>266700</xdr:colOff>
      <xdr:row>14</xdr:row>
      <xdr:rowOff>180975</xdr:rowOff>
    </xdr:from>
    <xdr:to>
      <xdr:col>4</xdr:col>
      <xdr:colOff>257175</xdr:colOff>
      <xdr:row>19</xdr:row>
      <xdr:rowOff>0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2523C0C6-9147-6293-0432-60F5B7C15E75}"/>
            </a:ext>
          </a:extLst>
        </xdr:cNvPr>
        <xdr:cNvSpPr/>
      </xdr:nvSpPr>
      <xdr:spPr>
        <a:xfrm>
          <a:off x="2095500" y="3000375"/>
          <a:ext cx="600075" cy="771525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8</xdr:col>
      <xdr:colOff>117443</xdr:colOff>
      <xdr:row>25</xdr:row>
      <xdr:rowOff>60801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55CAC86-62CF-0792-CF29-BABB2513CA03}"/>
            </a:ext>
          </a:extLst>
        </xdr:cNvPr>
        <xdr:cNvSpPr txBox="1"/>
      </xdr:nvSpPr>
      <xdr:spPr>
        <a:xfrm>
          <a:off x="4994243" y="50519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79343</xdr:colOff>
      <xdr:row>22</xdr:row>
      <xdr:rowOff>137001</xdr:rowOff>
    </xdr:from>
    <xdr:ext cx="957505" cy="12049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F71C265-53C9-4B17-A896-0A3075362C51}"/>
                </a:ext>
              </a:extLst>
            </xdr:cNvPr>
            <xdr:cNvSpPr txBox="1"/>
          </xdr:nvSpPr>
          <xdr:spPr>
            <a:xfrm>
              <a:off x="4956143" y="4480401"/>
              <a:ext cx="957505" cy="12049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=27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=18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=24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=18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=21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=23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=31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F71C265-53C9-4B17-A896-0A3075362C51}"/>
                </a:ext>
              </a:extLst>
            </xdr:cNvPr>
            <xdr:cNvSpPr txBox="1"/>
          </xdr:nvSpPr>
          <xdr:spPr>
            <a:xfrm>
              <a:off x="4956143" y="4480401"/>
              <a:ext cx="957505" cy="12049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𝑢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2=27@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24@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21@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23@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365093</xdr:colOff>
      <xdr:row>9</xdr:row>
      <xdr:rowOff>117951</xdr:rowOff>
    </xdr:from>
    <xdr:ext cx="1069011" cy="8648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E746108-3343-9663-85A4-E22FEF22A851}"/>
                </a:ext>
              </a:extLst>
            </xdr:cNvPr>
            <xdr:cNvSpPr txBox="1"/>
          </xdr:nvSpPr>
          <xdr:spPr>
            <a:xfrm>
              <a:off x="365093" y="2584926"/>
              <a:ext cx="1069011" cy="864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+8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≤26;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≥4;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+3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39;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E746108-3343-9663-85A4-E22FEF22A851}"/>
                </a:ext>
              </a:extLst>
            </xdr:cNvPr>
            <xdr:cNvSpPr txBox="1"/>
          </xdr:nvSpPr>
          <xdr:spPr>
            <a:xfrm>
              <a:off x="365093" y="2584926"/>
              <a:ext cx="1069011" cy="864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rgbClr val="7030A0"/>
                  </a:solidFill>
                  <a:latin typeface="Cambria Math" panose="02040503050406030204" pitchFamily="18" charset="0"/>
                </a:rPr>
                <a:t>{</a:t>
              </a:r>
              <a:r>
                <a:rPr lang="ru-RU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█(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2𝑥+8𝑦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≤26;@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𝑥+𝑦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≥4;@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12𝑥+3𝑦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39;@𝑥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≥0;@𝑦≥0)</a:t>
              </a:r>
              <a:r>
                <a:rPr lang="ru-RU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184118</xdr:colOff>
      <xdr:row>14</xdr:row>
      <xdr:rowOff>146526</xdr:rowOff>
    </xdr:from>
    <xdr:ext cx="1590756" cy="3469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A718684-711F-093A-EADC-7566D8FE2D5B}"/>
                </a:ext>
              </a:extLst>
            </xdr:cNvPr>
            <xdr:cNvSpPr txBox="1"/>
          </xdr:nvSpPr>
          <xdr:spPr>
            <a:xfrm>
              <a:off x="184118" y="3566001"/>
              <a:ext cx="1590756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rgbClr val="7030A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d>
                      <m:dPr>
                        <m:ctrlP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n-US" sz="1100" b="0" i="1">
                        <a:solidFill>
                          <a:srgbClr val="7030A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+3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den>
                    </m:f>
                    <m:r>
                      <a:rPr lang="en-US" sz="1100" b="0" i="1">
                        <a:solidFill>
                          <a:srgbClr val="7030A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en-US" sz="1100" b="0" i="1">
                        <a:solidFill>
                          <a:srgbClr val="7030A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𝑚𝑎𝑥</m:t>
                    </m:r>
                  </m:oMath>
                </m:oMathPara>
              </a14:m>
              <a:endParaRPr lang="ru-RU" sz="1100">
                <a:solidFill>
                  <a:srgbClr val="7030A0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A718684-711F-093A-EADC-7566D8FE2D5B}"/>
                </a:ext>
              </a:extLst>
            </xdr:cNvPr>
            <xdr:cNvSpPr txBox="1"/>
          </xdr:nvSpPr>
          <xdr:spPr>
            <a:xfrm>
              <a:off x="184118" y="3566001"/>
              <a:ext cx="1590756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𝑍(𝑥,𝑦)=(2𝑥+3𝑦)/(𝑥+𝑦)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→𝑚𝑎𝑥</a:t>
              </a:r>
              <a:endParaRPr lang="ru-RU" sz="1100">
                <a:solidFill>
                  <a:srgbClr val="7030A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298418</xdr:colOff>
      <xdr:row>0</xdr:row>
      <xdr:rowOff>479901</xdr:rowOff>
    </xdr:from>
    <xdr:ext cx="1014187" cy="1209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A77DCA7-8858-C147-E732-4D59F5076BE7}"/>
                </a:ext>
              </a:extLst>
            </xdr:cNvPr>
            <xdr:cNvSpPr txBox="1"/>
          </xdr:nvSpPr>
          <xdr:spPr>
            <a:xfrm>
              <a:off x="4156043" y="479901"/>
              <a:ext cx="1014187" cy="1209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= 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26−2</m:t>
                                </m:r>
                                <m: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8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=4−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39−12</m:t>
                                </m:r>
                                <m: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=0;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=0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A77DCA7-8858-C147-E732-4D59F5076BE7}"/>
                </a:ext>
              </a:extLst>
            </xdr:cNvPr>
            <xdr:cNvSpPr txBox="1"/>
          </xdr:nvSpPr>
          <xdr:spPr>
            <a:xfrm>
              <a:off x="4156043" y="479901"/>
              <a:ext cx="1014187" cy="1209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rgbClr val="7030A0"/>
                  </a:solidFill>
                  <a:latin typeface="Cambria Math" panose="02040503050406030204" pitchFamily="18" charset="0"/>
                </a:rPr>
                <a:t>{</a:t>
              </a:r>
              <a:r>
                <a:rPr lang="ru-RU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█(</a:t>
              </a:r>
              <a:r>
                <a:rPr lang="en-US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𝑦= (26−2𝑥)/8;@𝑦=4−𝑥;@𝑦=(39−12𝑥)/3;@𝑥=0;@𝑦=0)</a:t>
              </a:r>
              <a:r>
                <a:rPr lang="ru-RU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7</xdr:col>
      <xdr:colOff>333375</xdr:colOff>
      <xdr:row>6</xdr:row>
      <xdr:rowOff>147637</xdr:rowOff>
    </xdr:from>
    <xdr:to>
      <xdr:col>15</xdr:col>
      <xdr:colOff>28575</xdr:colOff>
      <xdr:row>21</xdr:row>
      <xdr:rowOff>33337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06FF48F-D8D0-9580-F39E-E33D8BFF6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282298</xdr:colOff>
      <xdr:row>19</xdr:row>
      <xdr:rowOff>96336</xdr:rowOff>
    </xdr:from>
    <xdr:ext cx="1005532" cy="377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8F8A64F-950B-5F59-B718-C0ED6B396ABE}"/>
                </a:ext>
              </a:extLst>
            </xdr:cNvPr>
            <xdr:cNvSpPr txBox="1"/>
          </xdr:nvSpPr>
          <xdr:spPr>
            <a:xfrm>
              <a:off x="282298" y="4470509"/>
              <a:ext cx="1005532" cy="377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≥4;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+3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≤39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8F8A64F-950B-5F59-B718-C0ED6B396ABE}"/>
                </a:ext>
              </a:extLst>
            </xdr:cNvPr>
            <xdr:cNvSpPr txBox="1"/>
          </xdr:nvSpPr>
          <xdr:spPr>
            <a:xfrm>
              <a:off x="282298" y="4470509"/>
              <a:ext cx="1005532" cy="377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</a:t>
              </a:r>
              <a:r>
                <a:rPr lang="en-US" sz="1100" b="0" i="0">
                  <a:latin typeface="Cambria Math" panose="02040503050406030204" pitchFamily="18" charset="0"/>
                </a:rPr>
                <a:t>█(𝑥+𝑦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≥4;@12𝑥+3𝑦≤39)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11203</xdr:colOff>
      <xdr:row>21</xdr:row>
      <xdr:rowOff>162278</xdr:rowOff>
    </xdr:from>
    <xdr:ext cx="1366593" cy="377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AD7621-13F2-F463-24F0-413298D7469A}"/>
                </a:ext>
              </a:extLst>
            </xdr:cNvPr>
            <xdr:cNvSpPr txBox="1"/>
          </xdr:nvSpPr>
          <xdr:spPr>
            <a:xfrm>
              <a:off x="11203" y="4917451"/>
              <a:ext cx="1366593" cy="377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=4 −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+3</m:t>
                            </m:r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4−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=39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AD7621-13F2-F463-24F0-413298D7469A}"/>
                </a:ext>
              </a:extLst>
            </xdr:cNvPr>
            <xdr:cNvSpPr txBox="1"/>
          </xdr:nvSpPr>
          <xdr:spPr>
            <a:xfrm>
              <a:off x="11203" y="4917451"/>
              <a:ext cx="1366593" cy="377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{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█(𝑦=4 −𝑥;@12𝑥+3(4−𝑥)=39)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231010</xdr:colOff>
      <xdr:row>24</xdr:row>
      <xdr:rowOff>125644</xdr:rowOff>
    </xdr:from>
    <xdr:ext cx="775277" cy="377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A006CA9-B856-35BC-EC4A-F251A700D28D}"/>
                </a:ext>
              </a:extLst>
            </xdr:cNvPr>
            <xdr:cNvSpPr txBox="1"/>
          </xdr:nvSpPr>
          <xdr:spPr>
            <a:xfrm>
              <a:off x="231010" y="5452317"/>
              <a:ext cx="775277" cy="377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=4 −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;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9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27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A006CA9-B856-35BC-EC4A-F251A700D28D}"/>
                </a:ext>
              </a:extLst>
            </xdr:cNvPr>
            <xdr:cNvSpPr txBox="1"/>
          </xdr:nvSpPr>
          <xdr:spPr>
            <a:xfrm>
              <a:off x="231010" y="5452317"/>
              <a:ext cx="775277" cy="377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█(𝑦=4 −𝑥;@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91799</xdr:colOff>
      <xdr:row>16</xdr:row>
      <xdr:rowOff>125645</xdr:rowOff>
    </xdr:from>
    <xdr:ext cx="1560812" cy="3469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331AA2F-E3FF-9364-D6BE-38C684FE8349}"/>
                </a:ext>
              </a:extLst>
            </xdr:cNvPr>
            <xdr:cNvSpPr txBox="1"/>
          </xdr:nvSpPr>
          <xdr:spPr>
            <a:xfrm>
              <a:off x="91799" y="3928318"/>
              <a:ext cx="1560812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𝑍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e>
                    </m: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+3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𝑚𝑖𝑛</m:t>
                    </m:r>
                  </m:oMath>
                </m:oMathPara>
              </a14:m>
              <a:endParaRPr lang="ru-RU">
                <a:effectLst/>
              </a:endParaRP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331AA2F-E3FF-9364-D6BE-38C684FE8349}"/>
                </a:ext>
              </a:extLst>
            </xdr:cNvPr>
            <xdr:cNvSpPr txBox="1"/>
          </xdr:nvSpPr>
          <xdr:spPr>
            <a:xfrm>
              <a:off x="91799" y="3928318"/>
              <a:ext cx="1560812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𝑍(𝑥,𝑦)=(2𝑥+3𝑦)/(𝑥+𝑦)→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𝑚𝑖𝑛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0.42657</cdr:x>
      <cdr:y>0.5605</cdr:y>
    </cdr:from>
    <cdr:to>
      <cdr:x>0.55511</cdr:x>
      <cdr:y>0.57652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474B20C2-3ED2-D0C5-E664-FA0A4E45B280}"/>
            </a:ext>
          </a:extLst>
        </cdr:cNvPr>
        <cdr:cNvCxnSpPr/>
      </cdr:nvCxnSpPr>
      <cdr:spPr>
        <a:xfrm xmlns:a="http://schemas.openxmlformats.org/drawingml/2006/main">
          <a:off x="1945298" y="1537555"/>
          <a:ext cx="586154" cy="439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0.5535</cdr:x>
      <cdr:y>0.56851</cdr:y>
    </cdr:from>
    <cdr:to>
      <cdr:x>0.6001</cdr:x>
      <cdr:y>0.65398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EA5DC79C-11D9-8761-F073-98440CCCC304}"/>
            </a:ext>
          </a:extLst>
        </cdr:cNvPr>
        <cdr:cNvCxnSpPr/>
      </cdr:nvCxnSpPr>
      <cdr:spPr>
        <a:xfrm xmlns:a="http://schemas.openxmlformats.org/drawingml/2006/main">
          <a:off x="2524125" y="1559536"/>
          <a:ext cx="212481" cy="2344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0.42497</cdr:x>
      <cdr:y>0.56584</cdr:y>
    </cdr:from>
    <cdr:to>
      <cdr:x>0.6001</cdr:x>
      <cdr:y>0.65398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50704984-F668-83F1-B926-340FDEFD495D}"/>
            </a:ext>
          </a:extLst>
        </cdr:cNvPr>
        <cdr:cNvCxnSpPr/>
      </cdr:nvCxnSpPr>
      <cdr:spPr>
        <a:xfrm xmlns:a="http://schemas.openxmlformats.org/drawingml/2006/main">
          <a:off x="1937971" y="1552209"/>
          <a:ext cx="798635" cy="24178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0.43139</cdr:x>
      <cdr:y>0.48304</cdr:y>
    </cdr:from>
    <cdr:to>
      <cdr:x>0.63191</cdr:x>
      <cdr:y>0.81637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1A263384-EA10-340F-D230-C8B7DB006500}"/>
            </a:ext>
          </a:extLst>
        </cdr:cNvPr>
        <cdr:cNvSpPr txBox="1"/>
      </cdr:nvSpPr>
      <cdr:spPr>
        <a:xfrm xmlns:a="http://schemas.openxmlformats.org/drawingml/2006/main">
          <a:off x="1967278" y="13250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0.41854</cdr:x>
      <cdr:y>0.46969</cdr:y>
    </cdr:from>
    <cdr:to>
      <cdr:x>0.46835</cdr:x>
      <cdr:y>0.54981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A97A6EC7-667A-778B-7D73-F391852AF50F}"/>
            </a:ext>
          </a:extLst>
        </cdr:cNvPr>
        <cdr:cNvSpPr txBox="1"/>
      </cdr:nvSpPr>
      <cdr:spPr>
        <a:xfrm xmlns:a="http://schemas.openxmlformats.org/drawingml/2006/main">
          <a:off x="1908664" y="1288440"/>
          <a:ext cx="227134" cy="219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A</a:t>
          </a:r>
          <a:endParaRPr lang="ru-RU" sz="1100" kern="1200"/>
        </a:p>
      </cdr:txBody>
    </cdr:sp>
  </cdr:relSizeAnchor>
  <cdr:relSizeAnchor xmlns:cdr="http://schemas.openxmlformats.org/drawingml/2006/chartDrawing">
    <cdr:from>
      <cdr:x>0.55029</cdr:x>
      <cdr:y>0.49105</cdr:y>
    </cdr:from>
    <cdr:to>
      <cdr:x>0.60492</cdr:x>
      <cdr:y>0.57919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EF9CFF4B-54AD-622F-05C8-B7D356EA5F61}"/>
            </a:ext>
          </a:extLst>
        </cdr:cNvPr>
        <cdr:cNvSpPr txBox="1"/>
      </cdr:nvSpPr>
      <cdr:spPr>
        <a:xfrm xmlns:a="http://schemas.openxmlformats.org/drawingml/2006/main">
          <a:off x="2509471" y="1347055"/>
          <a:ext cx="249115" cy="241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B</a:t>
          </a:r>
          <a:endParaRPr lang="ru-RU" sz="1100" kern="1200"/>
        </a:p>
      </cdr:txBody>
    </cdr:sp>
  </cdr:relSizeAnchor>
  <cdr:relSizeAnchor xmlns:cdr="http://schemas.openxmlformats.org/drawingml/2006/chartDrawing">
    <cdr:from>
      <cdr:x>0.54868</cdr:x>
      <cdr:y>0.61926</cdr:y>
    </cdr:from>
    <cdr:to>
      <cdr:x>0.6017</cdr:x>
      <cdr:y>0.70206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99B86603-9410-A306-9512-44FB391A0F45}"/>
            </a:ext>
          </a:extLst>
        </cdr:cNvPr>
        <cdr:cNvSpPr txBox="1"/>
      </cdr:nvSpPr>
      <cdr:spPr>
        <a:xfrm xmlns:a="http://schemas.openxmlformats.org/drawingml/2006/main">
          <a:off x="2502145" y="1698748"/>
          <a:ext cx="241788" cy="227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C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G9"/>
    </sheetView>
  </sheetViews>
  <sheetFormatPr defaultRowHeight="15" x14ac:dyDescent="0.25"/>
  <cols>
    <col min="1" max="1" width="12.85546875" bestFit="1" customWidth="1"/>
  </cols>
  <sheetData>
    <row r="1" spans="1:8" x14ac:dyDescent="0.25">
      <c r="A1" s="24" t="s">
        <v>0</v>
      </c>
      <c r="B1" s="25" t="s">
        <v>1</v>
      </c>
      <c r="C1" s="25"/>
      <c r="D1" s="25"/>
      <c r="E1" s="25"/>
      <c r="F1" s="25"/>
      <c r="G1" s="26" t="s">
        <v>2</v>
      </c>
    </row>
    <row r="2" spans="1:8" ht="18" x14ac:dyDescent="0.25">
      <c r="A2" s="24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4"/>
    </row>
    <row r="3" spans="1:8" ht="18" customHeight="1" x14ac:dyDescent="0.25">
      <c r="A3" s="24" t="s">
        <v>8</v>
      </c>
      <c r="B3" s="3">
        <v>28</v>
      </c>
      <c r="C3" s="3">
        <v>27</v>
      </c>
      <c r="D3" s="3">
        <v>18</v>
      </c>
      <c r="E3" s="3">
        <v>27</v>
      </c>
      <c r="F3" s="6">
        <v>24</v>
      </c>
      <c r="G3" s="24">
        <v>200</v>
      </c>
    </row>
    <row r="4" spans="1:8" x14ac:dyDescent="0.25">
      <c r="A4" s="24"/>
      <c r="B4" s="5"/>
      <c r="C4" s="5"/>
      <c r="D4" s="5"/>
      <c r="E4" s="5"/>
      <c r="F4" s="8"/>
      <c r="G4" s="24"/>
    </row>
    <row r="5" spans="1:8" ht="18" customHeight="1" x14ac:dyDescent="0.25">
      <c r="A5" s="24" t="s">
        <v>9</v>
      </c>
      <c r="B5" s="3">
        <v>18</v>
      </c>
      <c r="C5" s="3">
        <v>26</v>
      </c>
      <c r="D5" s="3">
        <v>27</v>
      </c>
      <c r="E5" s="3">
        <v>32</v>
      </c>
      <c r="F5" s="6">
        <v>21</v>
      </c>
      <c r="G5" s="24">
        <v>250</v>
      </c>
    </row>
    <row r="6" spans="1:8" x14ac:dyDescent="0.25">
      <c r="A6" s="24"/>
      <c r="B6" s="5"/>
      <c r="C6" s="5"/>
      <c r="D6" s="5"/>
      <c r="E6" s="5"/>
      <c r="F6" s="8"/>
      <c r="G6" s="24"/>
    </row>
    <row r="7" spans="1:8" ht="18" customHeight="1" x14ac:dyDescent="0.25">
      <c r="A7" s="24" t="s">
        <v>10</v>
      </c>
      <c r="B7" s="4">
        <v>27</v>
      </c>
      <c r="C7" s="4">
        <v>33</v>
      </c>
      <c r="D7" s="4">
        <v>23</v>
      </c>
      <c r="E7" s="4">
        <v>31</v>
      </c>
      <c r="F7" s="7">
        <v>34</v>
      </c>
      <c r="G7" s="24">
        <v>200</v>
      </c>
    </row>
    <row r="8" spans="1:8" x14ac:dyDescent="0.25">
      <c r="A8" s="24"/>
      <c r="B8" s="5"/>
      <c r="C8" s="5"/>
      <c r="D8" s="5"/>
      <c r="E8" s="5"/>
      <c r="F8" s="8"/>
      <c r="G8" s="24"/>
    </row>
    <row r="9" spans="1:8" x14ac:dyDescent="0.25">
      <c r="A9" s="2" t="s">
        <v>11</v>
      </c>
      <c r="B9" s="1">
        <v>190</v>
      </c>
      <c r="C9" s="1">
        <v>100</v>
      </c>
      <c r="D9" s="1">
        <v>120</v>
      </c>
      <c r="E9" s="1">
        <v>110</v>
      </c>
      <c r="F9" s="1">
        <v>130</v>
      </c>
      <c r="G9" s="2"/>
      <c r="H9">
        <f>SUM(B9:F9)</f>
        <v>650</v>
      </c>
    </row>
    <row r="10" spans="1:8" x14ac:dyDescent="0.25">
      <c r="G10">
        <f>SUM(G3:G8)</f>
        <v>650</v>
      </c>
    </row>
  </sheetData>
  <mergeCells count="9">
    <mergeCell ref="A7:A8"/>
    <mergeCell ref="G3:G4"/>
    <mergeCell ref="G5:G6"/>
    <mergeCell ref="G7:G8"/>
    <mergeCell ref="A1:A2"/>
    <mergeCell ref="B1:F1"/>
    <mergeCell ref="G1:G2"/>
    <mergeCell ref="A3:A4"/>
    <mergeCell ref="A5:A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B9CB-4895-41DE-984F-C1DA0E59849B}">
  <dimension ref="A1:G11"/>
  <sheetViews>
    <sheetView workbookViewId="0">
      <selection activeCell="A11" sqref="A11"/>
    </sheetView>
  </sheetViews>
  <sheetFormatPr defaultRowHeight="15" x14ac:dyDescent="0.25"/>
  <cols>
    <col min="7" max="7" width="14.42578125" customWidth="1"/>
  </cols>
  <sheetData>
    <row r="1" spans="1:7" x14ac:dyDescent="0.25">
      <c r="A1" s="24" t="s">
        <v>0</v>
      </c>
      <c r="B1" s="25" t="s">
        <v>1</v>
      </c>
      <c r="C1" s="25"/>
      <c r="D1" s="25"/>
      <c r="E1" s="25"/>
      <c r="F1" s="25"/>
      <c r="G1" s="26" t="s">
        <v>2</v>
      </c>
    </row>
    <row r="2" spans="1:7" ht="18" x14ac:dyDescent="0.25">
      <c r="A2" s="24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4"/>
    </row>
    <row r="3" spans="1:7" x14ac:dyDescent="0.25">
      <c r="A3" s="24" t="s">
        <v>8</v>
      </c>
      <c r="B3" s="3">
        <v>28</v>
      </c>
      <c r="C3" s="3">
        <v>27</v>
      </c>
      <c r="D3" s="3">
        <v>18</v>
      </c>
      <c r="E3" s="3">
        <v>27</v>
      </c>
      <c r="F3" s="6">
        <v>24</v>
      </c>
      <c r="G3" s="24" t="s">
        <v>14</v>
      </c>
    </row>
    <row r="4" spans="1:7" x14ac:dyDescent="0.25">
      <c r="A4" s="24"/>
      <c r="B4" s="9">
        <v>190</v>
      </c>
      <c r="C4" s="9">
        <v>10</v>
      </c>
      <c r="D4" s="9"/>
      <c r="E4" s="9"/>
      <c r="F4" s="10"/>
      <c r="G4" s="24"/>
    </row>
    <row r="5" spans="1:7" x14ac:dyDescent="0.25">
      <c r="A5" s="24" t="s">
        <v>9</v>
      </c>
      <c r="B5" s="3">
        <v>18</v>
      </c>
      <c r="C5" s="3">
        <v>26</v>
      </c>
      <c r="D5" s="3">
        <v>27</v>
      </c>
      <c r="E5" s="3">
        <v>32</v>
      </c>
      <c r="F5" s="6">
        <v>21</v>
      </c>
      <c r="G5" s="24" t="s">
        <v>16</v>
      </c>
    </row>
    <row r="6" spans="1:7" x14ac:dyDescent="0.25">
      <c r="A6" s="24"/>
      <c r="B6" s="9"/>
      <c r="C6" s="9">
        <v>90</v>
      </c>
      <c r="D6" s="9">
        <v>120</v>
      </c>
      <c r="E6" s="9">
        <v>40</v>
      </c>
      <c r="F6" s="10"/>
      <c r="G6" s="24"/>
    </row>
    <row r="7" spans="1:7" x14ac:dyDescent="0.25">
      <c r="A7" s="24" t="s">
        <v>10</v>
      </c>
      <c r="B7" s="4">
        <v>27</v>
      </c>
      <c r="C7" s="4">
        <v>33</v>
      </c>
      <c r="D7" s="4">
        <v>23</v>
      </c>
      <c r="E7" s="4">
        <v>31</v>
      </c>
      <c r="F7" s="7">
        <v>34</v>
      </c>
      <c r="G7" s="24" t="s">
        <v>18</v>
      </c>
    </row>
    <row r="8" spans="1:7" x14ac:dyDescent="0.25">
      <c r="A8" s="24"/>
      <c r="B8" s="9"/>
      <c r="C8" s="9"/>
      <c r="D8" s="9"/>
      <c r="E8" s="9">
        <v>70</v>
      </c>
      <c r="F8" s="10">
        <v>130</v>
      </c>
      <c r="G8" s="24"/>
    </row>
    <row r="9" spans="1:7" x14ac:dyDescent="0.25">
      <c r="A9" s="2" t="s">
        <v>11</v>
      </c>
      <c r="B9" s="1" t="s">
        <v>12</v>
      </c>
      <c r="C9" s="1" t="s">
        <v>13</v>
      </c>
      <c r="D9" s="1" t="s">
        <v>15</v>
      </c>
      <c r="E9" s="1" t="s">
        <v>17</v>
      </c>
      <c r="F9" s="1" t="s">
        <v>19</v>
      </c>
      <c r="G9" s="2"/>
    </row>
    <row r="11" spans="1:7" x14ac:dyDescent="0.25">
      <c r="A11" s="11" t="s">
        <v>20</v>
      </c>
      <c r="B11">
        <f>B4*B3+C4*C3+C6*C5+D6*D5+E6*E5+E8*E7+F8*F7</f>
        <v>19040</v>
      </c>
    </row>
  </sheetData>
  <mergeCells count="9">
    <mergeCell ref="A7:A8"/>
    <mergeCell ref="G7:G8"/>
    <mergeCell ref="A1:A2"/>
    <mergeCell ref="B1:F1"/>
    <mergeCell ref="G1:G2"/>
    <mergeCell ref="A3:A4"/>
    <mergeCell ref="G3:G4"/>
    <mergeCell ref="A5:A6"/>
    <mergeCell ref="G5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A6C2-6B41-43D9-8392-9B1CC5743B8E}">
  <dimension ref="A1:G11"/>
  <sheetViews>
    <sheetView workbookViewId="0">
      <selection activeCell="A11" sqref="A11"/>
    </sheetView>
  </sheetViews>
  <sheetFormatPr defaultRowHeight="15" x14ac:dyDescent="0.25"/>
  <cols>
    <col min="1" max="1" width="13.7109375" customWidth="1"/>
    <col min="7" max="7" width="13.28515625" customWidth="1"/>
  </cols>
  <sheetData>
    <row r="1" spans="1:7" x14ac:dyDescent="0.25">
      <c r="A1" s="24" t="s">
        <v>0</v>
      </c>
      <c r="B1" s="25" t="s">
        <v>1</v>
      </c>
      <c r="C1" s="25"/>
      <c r="D1" s="25"/>
      <c r="E1" s="25"/>
      <c r="F1" s="25"/>
      <c r="G1" s="26" t="s">
        <v>2</v>
      </c>
    </row>
    <row r="2" spans="1:7" ht="18" x14ac:dyDescent="0.25">
      <c r="A2" s="24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4"/>
    </row>
    <row r="3" spans="1:7" x14ac:dyDescent="0.25">
      <c r="A3" s="24" t="s">
        <v>8</v>
      </c>
      <c r="B3" s="3">
        <v>28</v>
      </c>
      <c r="C3" s="3">
        <v>27</v>
      </c>
      <c r="D3" s="3">
        <v>18</v>
      </c>
      <c r="E3" s="3">
        <v>27</v>
      </c>
      <c r="F3" s="6">
        <v>24</v>
      </c>
      <c r="G3" s="24" t="s">
        <v>25</v>
      </c>
    </row>
    <row r="4" spans="1:7" x14ac:dyDescent="0.25">
      <c r="A4" s="24"/>
      <c r="B4" s="5"/>
      <c r="C4" s="9">
        <v>10</v>
      </c>
      <c r="D4" s="9">
        <v>120</v>
      </c>
      <c r="E4" s="5"/>
      <c r="F4" s="10">
        <v>70</v>
      </c>
      <c r="G4" s="24"/>
    </row>
    <row r="5" spans="1:7" x14ac:dyDescent="0.25">
      <c r="A5" s="24" t="s">
        <v>9</v>
      </c>
      <c r="B5" s="3">
        <v>18</v>
      </c>
      <c r="C5" s="3">
        <v>26</v>
      </c>
      <c r="D5" s="3">
        <v>27</v>
      </c>
      <c r="E5" s="3">
        <v>32</v>
      </c>
      <c r="F5" s="6">
        <v>21</v>
      </c>
      <c r="G5" s="24" t="s">
        <v>24</v>
      </c>
    </row>
    <row r="6" spans="1:7" x14ac:dyDescent="0.25">
      <c r="A6" s="24"/>
      <c r="B6" s="9">
        <v>190</v>
      </c>
      <c r="C6" s="5"/>
      <c r="D6" s="5"/>
      <c r="E6" s="5"/>
      <c r="F6" s="10">
        <v>60</v>
      </c>
      <c r="G6" s="24"/>
    </row>
    <row r="7" spans="1:7" x14ac:dyDescent="0.25">
      <c r="A7" s="24" t="s">
        <v>10</v>
      </c>
      <c r="B7" s="4">
        <v>27</v>
      </c>
      <c r="C7" s="4">
        <v>33</v>
      </c>
      <c r="D7" s="4">
        <v>23</v>
      </c>
      <c r="E7" s="4">
        <v>31</v>
      </c>
      <c r="F7" s="7">
        <v>34</v>
      </c>
      <c r="G7" s="24" t="s">
        <v>23</v>
      </c>
    </row>
    <row r="8" spans="1:7" x14ac:dyDescent="0.25">
      <c r="A8" s="24"/>
      <c r="B8" s="5"/>
      <c r="C8" s="9">
        <v>90</v>
      </c>
      <c r="D8" s="5"/>
      <c r="E8" s="9">
        <v>110</v>
      </c>
      <c r="F8" s="8"/>
      <c r="G8" s="24"/>
    </row>
    <row r="9" spans="1:7" x14ac:dyDescent="0.25">
      <c r="A9" s="1" t="s">
        <v>11</v>
      </c>
      <c r="B9" s="1" t="s">
        <v>12</v>
      </c>
      <c r="C9" s="1" t="s">
        <v>13</v>
      </c>
      <c r="D9" s="1" t="s">
        <v>15</v>
      </c>
      <c r="E9" s="1" t="s">
        <v>21</v>
      </c>
      <c r="F9" s="1" t="s">
        <v>22</v>
      </c>
      <c r="G9" s="2"/>
    </row>
    <row r="11" spans="1:7" x14ac:dyDescent="0.25">
      <c r="A11" s="11" t="s">
        <v>20</v>
      </c>
      <c r="B11">
        <f>C4*C3+D4*D3+F4*F3+B6*B5+F6*F5+C8*C7+E8*E7</f>
        <v>15170</v>
      </c>
    </row>
  </sheetData>
  <mergeCells count="9">
    <mergeCell ref="A7:A8"/>
    <mergeCell ref="G7:G8"/>
    <mergeCell ref="A1:A2"/>
    <mergeCell ref="B1:F1"/>
    <mergeCell ref="G1:G2"/>
    <mergeCell ref="A3:A4"/>
    <mergeCell ref="G3:G4"/>
    <mergeCell ref="A5:A6"/>
    <mergeCell ref="G5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E8B2-DAFC-4AF9-B8E6-F8CFB02D5743}">
  <dimension ref="A1:H33"/>
  <sheetViews>
    <sheetView zoomScaleNormal="100" workbookViewId="0">
      <selection activeCell="N1" sqref="N1"/>
    </sheetView>
  </sheetViews>
  <sheetFormatPr defaultRowHeight="15" x14ac:dyDescent="0.25"/>
  <cols>
    <col min="18" max="18" width="9.140625" customWidth="1"/>
  </cols>
  <sheetData>
    <row r="1" spans="1:8" ht="18" x14ac:dyDescent="0.35">
      <c r="A1" s="28" t="s">
        <v>26</v>
      </c>
      <c r="B1" s="29"/>
      <c r="C1" s="25" t="s">
        <v>27</v>
      </c>
      <c r="D1" s="25"/>
      <c r="E1" s="25"/>
      <c r="F1" s="25"/>
      <c r="G1" s="25"/>
      <c r="H1" s="14"/>
    </row>
    <row r="2" spans="1:8" ht="18" x14ac:dyDescent="0.25">
      <c r="A2" s="30"/>
      <c r="B2" s="31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4"/>
    </row>
    <row r="3" spans="1:8" x14ac:dyDescent="0.25">
      <c r="A3" s="30"/>
      <c r="B3" s="31"/>
      <c r="C3" s="15">
        <v>21</v>
      </c>
      <c r="D3" s="15">
        <v>27</v>
      </c>
      <c r="E3" s="15">
        <v>18</v>
      </c>
      <c r="F3" s="15">
        <v>25</v>
      </c>
      <c r="G3" s="15">
        <v>24</v>
      </c>
      <c r="H3" s="13"/>
    </row>
    <row r="4" spans="1:8" x14ac:dyDescent="0.25">
      <c r="A4" s="24" t="s">
        <v>8</v>
      </c>
      <c r="B4" s="27">
        <v>0</v>
      </c>
      <c r="C4" s="3">
        <v>28</v>
      </c>
      <c r="D4" s="3">
        <v>27</v>
      </c>
      <c r="E4" s="3">
        <v>18</v>
      </c>
      <c r="F4" s="3">
        <v>27</v>
      </c>
      <c r="G4" s="6">
        <v>24</v>
      </c>
      <c r="H4" s="13"/>
    </row>
    <row r="5" spans="1:8" x14ac:dyDescent="0.25">
      <c r="A5" s="24"/>
      <c r="B5" s="27"/>
      <c r="C5" s="5"/>
      <c r="D5" s="9">
        <v>10</v>
      </c>
      <c r="E5" s="9">
        <v>120</v>
      </c>
      <c r="F5" s="5"/>
      <c r="G5" s="10">
        <v>70</v>
      </c>
      <c r="H5" s="13"/>
    </row>
    <row r="6" spans="1:8" x14ac:dyDescent="0.25">
      <c r="A6" s="24" t="s">
        <v>9</v>
      </c>
      <c r="B6" s="27">
        <v>-3</v>
      </c>
      <c r="C6" s="3">
        <v>18</v>
      </c>
      <c r="D6" s="3">
        <v>26</v>
      </c>
      <c r="E6" s="3">
        <v>27</v>
      </c>
      <c r="F6" s="3">
        <v>32</v>
      </c>
      <c r="G6" s="6">
        <v>21</v>
      </c>
      <c r="H6" s="13"/>
    </row>
    <row r="7" spans="1:8" x14ac:dyDescent="0.25">
      <c r="A7" s="24"/>
      <c r="B7" s="27"/>
      <c r="C7" s="9">
        <v>190</v>
      </c>
      <c r="D7" s="5"/>
      <c r="E7" s="5"/>
      <c r="F7" s="5"/>
      <c r="G7" s="10">
        <v>60</v>
      </c>
      <c r="H7" s="13"/>
    </row>
    <row r="8" spans="1:8" x14ac:dyDescent="0.25">
      <c r="A8" s="24" t="s">
        <v>10</v>
      </c>
      <c r="B8" s="27">
        <v>6</v>
      </c>
      <c r="C8" s="4">
        <v>27</v>
      </c>
      <c r="D8" s="4">
        <v>33</v>
      </c>
      <c r="E8" s="4">
        <v>23</v>
      </c>
      <c r="F8" s="4">
        <v>31</v>
      </c>
      <c r="G8" s="7">
        <v>34</v>
      </c>
      <c r="H8" s="13"/>
    </row>
    <row r="9" spans="1:8" x14ac:dyDescent="0.25">
      <c r="A9" s="24"/>
      <c r="B9" s="27"/>
      <c r="C9" s="5"/>
      <c r="D9" s="9">
        <v>90</v>
      </c>
      <c r="E9" s="5"/>
      <c r="F9" s="9">
        <v>110</v>
      </c>
      <c r="G9" s="8"/>
      <c r="H9" s="13"/>
    </row>
    <row r="10" spans="1:8" x14ac:dyDescent="0.25">
      <c r="C10" s="12"/>
      <c r="D10" s="12"/>
      <c r="E10" s="12"/>
      <c r="F10" s="12"/>
      <c r="G10" s="12"/>
    </row>
    <row r="12" spans="1:8" ht="18" x14ac:dyDescent="0.35">
      <c r="A12" s="28" t="s">
        <v>26</v>
      </c>
      <c r="B12" s="29"/>
      <c r="C12" s="25" t="s">
        <v>27</v>
      </c>
      <c r="D12" s="25"/>
      <c r="E12" s="25"/>
      <c r="F12" s="25"/>
      <c r="G12" s="25"/>
    </row>
    <row r="13" spans="1:8" ht="18" x14ac:dyDescent="0.25">
      <c r="A13" s="30"/>
      <c r="B13" s="31"/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</row>
    <row r="14" spans="1:8" x14ac:dyDescent="0.25">
      <c r="A14" s="30"/>
      <c r="B14" s="31"/>
      <c r="C14" s="15">
        <v>21</v>
      </c>
      <c r="D14" s="15">
        <v>27</v>
      </c>
      <c r="E14" s="15">
        <v>18</v>
      </c>
      <c r="F14" s="15">
        <v>25</v>
      </c>
      <c r="G14" s="15">
        <v>24</v>
      </c>
    </row>
    <row r="15" spans="1:8" x14ac:dyDescent="0.25">
      <c r="A15" s="24" t="s">
        <v>8</v>
      </c>
      <c r="B15" s="27">
        <v>0</v>
      </c>
      <c r="C15" s="3">
        <v>28</v>
      </c>
      <c r="D15" s="3">
        <v>27</v>
      </c>
      <c r="E15" s="3">
        <v>18</v>
      </c>
      <c r="F15" s="3">
        <v>27</v>
      </c>
      <c r="G15" s="6">
        <v>24</v>
      </c>
    </row>
    <row r="16" spans="1:8" x14ac:dyDescent="0.25">
      <c r="A16" s="24"/>
      <c r="B16" s="27"/>
      <c r="C16" s="5"/>
      <c r="D16" s="9" t="s">
        <v>28</v>
      </c>
      <c r="E16" s="9" t="s">
        <v>29</v>
      </c>
      <c r="F16" s="5"/>
      <c r="G16" s="10">
        <v>70</v>
      </c>
    </row>
    <row r="17" spans="1:7" x14ac:dyDescent="0.25">
      <c r="A17" s="24" t="s">
        <v>9</v>
      </c>
      <c r="B17" s="27">
        <v>-3</v>
      </c>
      <c r="C17" s="3">
        <v>18</v>
      </c>
      <c r="D17" s="3">
        <v>26</v>
      </c>
      <c r="E17" s="3">
        <v>27</v>
      </c>
      <c r="F17" s="3">
        <v>32</v>
      </c>
      <c r="G17" s="6">
        <v>21</v>
      </c>
    </row>
    <row r="18" spans="1:7" x14ac:dyDescent="0.25">
      <c r="A18" s="24"/>
      <c r="B18" s="27"/>
      <c r="C18" s="9">
        <v>190</v>
      </c>
      <c r="D18" s="5"/>
      <c r="E18" s="5"/>
      <c r="F18" s="5"/>
      <c r="G18" s="10">
        <v>60</v>
      </c>
    </row>
    <row r="19" spans="1:7" x14ac:dyDescent="0.25">
      <c r="A19" s="24" t="s">
        <v>10</v>
      </c>
      <c r="B19" s="27">
        <v>6</v>
      </c>
      <c r="C19" s="4">
        <v>27</v>
      </c>
      <c r="D19" s="4">
        <v>33</v>
      </c>
      <c r="E19" s="4">
        <v>23</v>
      </c>
      <c r="F19" s="4">
        <v>31</v>
      </c>
      <c r="G19" s="7">
        <v>34</v>
      </c>
    </row>
    <row r="20" spans="1:7" x14ac:dyDescent="0.25">
      <c r="A20" s="24"/>
      <c r="B20" s="27"/>
      <c r="C20" s="5"/>
      <c r="D20" s="9" t="s">
        <v>30</v>
      </c>
      <c r="E20" s="5" t="s">
        <v>31</v>
      </c>
      <c r="F20" s="9">
        <v>110</v>
      </c>
      <c r="G20" s="8"/>
    </row>
    <row r="23" spans="1:7" ht="18" x14ac:dyDescent="0.35">
      <c r="A23" s="28" t="s">
        <v>26</v>
      </c>
      <c r="B23" s="29"/>
      <c r="C23" s="25" t="s">
        <v>27</v>
      </c>
      <c r="D23" s="25"/>
      <c r="E23" s="25"/>
      <c r="F23" s="25"/>
      <c r="G23" s="25"/>
    </row>
    <row r="24" spans="1:7" ht="18" x14ac:dyDescent="0.25">
      <c r="A24" s="30"/>
      <c r="B24" s="31"/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</row>
    <row r="25" spans="1:7" x14ac:dyDescent="0.25">
      <c r="A25" s="30"/>
      <c r="B25" s="31"/>
      <c r="C25" s="15">
        <v>21</v>
      </c>
      <c r="D25" s="15">
        <v>27</v>
      </c>
      <c r="E25" s="15">
        <v>18</v>
      </c>
      <c r="F25" s="15">
        <v>26</v>
      </c>
      <c r="G25" s="15">
        <v>24</v>
      </c>
    </row>
    <row r="26" spans="1:7" x14ac:dyDescent="0.25">
      <c r="A26" s="24" t="s">
        <v>8</v>
      </c>
      <c r="B26" s="27">
        <v>0</v>
      </c>
      <c r="C26" s="3">
        <v>28</v>
      </c>
      <c r="D26" s="3">
        <v>27</v>
      </c>
      <c r="E26" s="3">
        <v>18</v>
      </c>
      <c r="F26" s="3">
        <v>27</v>
      </c>
      <c r="G26" s="6">
        <v>24</v>
      </c>
    </row>
    <row r="27" spans="1:7" x14ac:dyDescent="0.25">
      <c r="A27" s="24"/>
      <c r="B27" s="27"/>
      <c r="C27" s="5"/>
      <c r="D27" s="9">
        <v>100</v>
      </c>
      <c r="E27" s="9">
        <v>30</v>
      </c>
      <c r="F27" s="5"/>
      <c r="G27" s="10">
        <v>70</v>
      </c>
    </row>
    <row r="28" spans="1:7" x14ac:dyDescent="0.25">
      <c r="A28" s="24" t="s">
        <v>9</v>
      </c>
      <c r="B28" s="27">
        <v>-3</v>
      </c>
      <c r="C28" s="3">
        <v>18</v>
      </c>
      <c r="D28" s="3">
        <v>26</v>
      </c>
      <c r="E28" s="3">
        <v>27</v>
      </c>
      <c r="F28" s="3">
        <v>32</v>
      </c>
      <c r="G28" s="6">
        <v>21</v>
      </c>
    </row>
    <row r="29" spans="1:7" x14ac:dyDescent="0.25">
      <c r="A29" s="24"/>
      <c r="B29" s="27"/>
      <c r="C29" s="9">
        <v>190</v>
      </c>
      <c r="D29" s="5"/>
      <c r="E29" s="5"/>
      <c r="F29" s="5"/>
      <c r="G29" s="10">
        <v>60</v>
      </c>
    </row>
    <row r="30" spans="1:7" x14ac:dyDescent="0.25">
      <c r="A30" s="24" t="s">
        <v>10</v>
      </c>
      <c r="B30" s="27">
        <v>5</v>
      </c>
      <c r="C30" s="4">
        <v>27</v>
      </c>
      <c r="D30" s="4">
        <v>33</v>
      </c>
      <c r="E30" s="4">
        <v>23</v>
      </c>
      <c r="F30" s="4">
        <v>31</v>
      </c>
      <c r="G30" s="7">
        <v>34</v>
      </c>
    </row>
    <row r="31" spans="1:7" x14ac:dyDescent="0.25">
      <c r="A31" s="24"/>
      <c r="B31" s="27"/>
      <c r="C31" s="5"/>
      <c r="D31" s="9" t="s">
        <v>32</v>
      </c>
      <c r="E31" s="9">
        <v>90</v>
      </c>
      <c r="F31" s="9">
        <v>110</v>
      </c>
      <c r="G31" s="8"/>
    </row>
    <row r="33" spans="1:2" x14ac:dyDescent="0.25">
      <c r="A33" s="11" t="s">
        <v>20</v>
      </c>
      <c r="B33">
        <f>D27*D26+E27*E26+G27*G26+C29*C28+G29*G28+E31*E30+F31*F30</f>
        <v>15080</v>
      </c>
    </row>
  </sheetData>
  <mergeCells count="24">
    <mergeCell ref="C1:G1"/>
    <mergeCell ref="B4:B5"/>
    <mergeCell ref="B6:B7"/>
    <mergeCell ref="A12:B14"/>
    <mergeCell ref="C12:G12"/>
    <mergeCell ref="B8:B9"/>
    <mergeCell ref="A1:B3"/>
    <mergeCell ref="A4:A5"/>
    <mergeCell ref="A6:A7"/>
    <mergeCell ref="A8:A9"/>
    <mergeCell ref="A15:A16"/>
    <mergeCell ref="B15:B16"/>
    <mergeCell ref="A17:A18"/>
    <mergeCell ref="B17:B18"/>
    <mergeCell ref="A19:A20"/>
    <mergeCell ref="B19:B20"/>
    <mergeCell ref="A30:A31"/>
    <mergeCell ref="B30:B31"/>
    <mergeCell ref="A23:B25"/>
    <mergeCell ref="C23:G23"/>
    <mergeCell ref="A26:A27"/>
    <mergeCell ref="B26:B27"/>
    <mergeCell ref="A28:A29"/>
    <mergeCell ref="B28:B29"/>
  </mergeCells>
  <pageMargins left="0.7" right="0.7" top="0.75" bottom="0.75" header="0.3" footer="0.3"/>
  <pageSetup paperSize="9" scale="3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E83-8532-4339-8429-67A261552D88}">
  <dimension ref="A1:G16"/>
  <sheetViews>
    <sheetView workbookViewId="0">
      <selection activeCell="R6" sqref="R6"/>
    </sheetView>
  </sheetViews>
  <sheetFormatPr defaultRowHeight="15" x14ac:dyDescent="0.25"/>
  <cols>
    <col min="1" max="1" width="14.85546875" customWidth="1"/>
    <col min="9" max="10" width="11.85546875" customWidth="1"/>
  </cols>
  <sheetData>
    <row r="1" spans="1:7" x14ac:dyDescent="0.25">
      <c r="A1" s="24" t="s">
        <v>0</v>
      </c>
      <c r="B1" s="25" t="s">
        <v>1</v>
      </c>
      <c r="C1" s="25"/>
      <c r="D1" s="25"/>
      <c r="E1" s="25"/>
      <c r="F1" s="25"/>
      <c r="G1" s="26" t="s">
        <v>2</v>
      </c>
    </row>
    <row r="2" spans="1:7" ht="18" x14ac:dyDescent="0.25">
      <c r="A2" s="24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4"/>
    </row>
    <row r="3" spans="1:7" ht="15" customHeight="1" x14ac:dyDescent="0.25">
      <c r="A3" s="16" t="s">
        <v>8</v>
      </c>
      <c r="B3" s="3">
        <v>28</v>
      </c>
      <c r="C3" s="3">
        <v>27</v>
      </c>
      <c r="D3" s="3">
        <v>18</v>
      </c>
      <c r="E3" s="3">
        <v>27</v>
      </c>
      <c r="F3" s="6">
        <v>24</v>
      </c>
      <c r="G3" s="16">
        <v>200</v>
      </c>
    </row>
    <row r="4" spans="1:7" ht="15" customHeight="1" x14ac:dyDescent="0.25">
      <c r="A4" s="16" t="s">
        <v>9</v>
      </c>
      <c r="B4" s="17">
        <v>18</v>
      </c>
      <c r="C4" s="17">
        <v>26</v>
      </c>
      <c r="D4" s="17">
        <v>27</v>
      </c>
      <c r="E4" s="17">
        <v>32</v>
      </c>
      <c r="F4" s="17">
        <v>21</v>
      </c>
      <c r="G4" s="16">
        <v>250</v>
      </c>
    </row>
    <row r="5" spans="1:7" ht="15" customHeight="1" x14ac:dyDescent="0.25">
      <c r="A5" s="16" t="s">
        <v>10</v>
      </c>
      <c r="B5" s="17">
        <v>27</v>
      </c>
      <c r="C5" s="17">
        <v>33</v>
      </c>
      <c r="D5" s="17">
        <v>23</v>
      </c>
      <c r="E5" s="17">
        <v>31</v>
      </c>
      <c r="F5" s="17">
        <v>34</v>
      </c>
      <c r="G5" s="16">
        <v>200</v>
      </c>
    </row>
    <row r="6" spans="1:7" x14ac:dyDescent="0.25">
      <c r="A6" s="2" t="s">
        <v>11</v>
      </c>
      <c r="B6" s="1">
        <v>190</v>
      </c>
      <c r="C6" s="1">
        <v>100</v>
      </c>
      <c r="D6" s="1">
        <v>120</v>
      </c>
      <c r="E6" s="1">
        <v>110</v>
      </c>
      <c r="F6" s="1">
        <v>130</v>
      </c>
      <c r="G6" s="2"/>
    </row>
    <row r="9" spans="1:7" x14ac:dyDescent="0.25">
      <c r="A9" s="24" t="s">
        <v>0</v>
      </c>
      <c r="B9" s="25" t="s">
        <v>1</v>
      </c>
      <c r="C9" s="25"/>
      <c r="D9" s="25"/>
      <c r="E9" s="25"/>
      <c r="F9" s="25"/>
      <c r="G9" s="26" t="s">
        <v>2</v>
      </c>
    </row>
    <row r="10" spans="1:7" ht="18" x14ac:dyDescent="0.25">
      <c r="A10" s="24"/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24"/>
    </row>
    <row r="11" spans="1:7" ht="18" x14ac:dyDescent="0.25">
      <c r="A11" s="16" t="s">
        <v>8</v>
      </c>
      <c r="B11" s="3">
        <v>0</v>
      </c>
      <c r="C11" s="3">
        <v>100</v>
      </c>
      <c r="D11" s="3">
        <v>30</v>
      </c>
      <c r="E11" s="3">
        <v>0</v>
      </c>
      <c r="F11" s="6">
        <v>70</v>
      </c>
      <c r="G11" s="16">
        <f>SUM(B11:F11)</f>
        <v>200</v>
      </c>
    </row>
    <row r="12" spans="1:7" ht="18" x14ac:dyDescent="0.25">
      <c r="A12" s="16" t="s">
        <v>9</v>
      </c>
      <c r="B12" s="17">
        <v>190</v>
      </c>
      <c r="C12" s="17">
        <v>0</v>
      </c>
      <c r="D12" s="17">
        <v>0</v>
      </c>
      <c r="E12" s="17">
        <v>0</v>
      </c>
      <c r="F12" s="17">
        <v>60</v>
      </c>
      <c r="G12" s="16">
        <f t="shared" ref="G12:G13" si="0">SUM(B12:F12)</f>
        <v>250</v>
      </c>
    </row>
    <row r="13" spans="1:7" ht="18" x14ac:dyDescent="0.25">
      <c r="A13" s="16" t="s">
        <v>10</v>
      </c>
      <c r="B13" s="17">
        <v>0</v>
      </c>
      <c r="C13" s="17">
        <v>0</v>
      </c>
      <c r="D13" s="17">
        <v>90</v>
      </c>
      <c r="E13" s="17">
        <v>110</v>
      </c>
      <c r="F13" s="17">
        <v>0</v>
      </c>
      <c r="G13" s="16">
        <f t="shared" si="0"/>
        <v>200</v>
      </c>
    </row>
    <row r="14" spans="1:7" x14ac:dyDescent="0.25">
      <c r="A14" s="2" t="s">
        <v>11</v>
      </c>
      <c r="B14" s="1">
        <f>SUM(B11:B13)</f>
        <v>190</v>
      </c>
      <c r="C14" s="1">
        <f t="shared" ref="C14:F14" si="1">SUM(C11:C13)</f>
        <v>100</v>
      </c>
      <c r="D14" s="1">
        <f t="shared" si="1"/>
        <v>120</v>
      </c>
      <c r="E14" s="1">
        <f t="shared" si="1"/>
        <v>110</v>
      </c>
      <c r="F14" s="1">
        <f t="shared" si="1"/>
        <v>130</v>
      </c>
      <c r="G14" s="2"/>
    </row>
    <row r="16" spans="1:7" x14ac:dyDescent="0.25">
      <c r="A16" s="11" t="s">
        <v>20</v>
      </c>
      <c r="B16">
        <f>SUMPRODUCT(B3:F5,B11:F13)</f>
        <v>15080</v>
      </c>
    </row>
  </sheetData>
  <mergeCells count="6">
    <mergeCell ref="A9:A10"/>
    <mergeCell ref="B9:F9"/>
    <mergeCell ref="G9:G10"/>
    <mergeCell ref="A1:A2"/>
    <mergeCell ref="B1:F1"/>
    <mergeCell ref="G1:G2"/>
  </mergeCells>
  <conditionalFormatting sqref="B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{6C9AD096-7196-4BF1-AAE5-0F761279434E}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9AD096-7196-4BF1-AAE5-0F76127943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4BC4-AADB-46D0-8F71-0A018A9D6FA3}">
  <dimension ref="A1:M29"/>
  <sheetViews>
    <sheetView tabSelected="1" topLeftCell="A6" zoomScale="130" zoomScaleNormal="130" workbookViewId="0">
      <selection activeCell="Q23" sqref="Q23"/>
    </sheetView>
  </sheetViews>
  <sheetFormatPr defaultRowHeight="15" x14ac:dyDescent="0.25"/>
  <cols>
    <col min="1" max="1" width="21" customWidth="1"/>
    <col min="2" max="2" width="14.5703125" customWidth="1"/>
    <col min="3" max="3" width="22.28515625" customWidth="1"/>
  </cols>
  <sheetData>
    <row r="1" spans="1:13" ht="39.75" customHeight="1" x14ac:dyDescent="0.25">
      <c r="A1" s="32" t="s">
        <v>34</v>
      </c>
      <c r="B1" s="34" t="s">
        <v>33</v>
      </c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33"/>
      <c r="B2" s="19" t="s">
        <v>35</v>
      </c>
      <c r="C2" s="19" t="s">
        <v>36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x14ac:dyDescent="0.25">
      <c r="A3" s="19">
        <v>1</v>
      </c>
      <c r="B3" s="19">
        <v>2</v>
      </c>
      <c r="C3" s="19">
        <v>8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x14ac:dyDescent="0.25">
      <c r="A4" s="19">
        <v>2</v>
      </c>
      <c r="B4" s="19">
        <v>1</v>
      </c>
      <c r="C4" s="19">
        <v>1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25">
      <c r="A5" s="20">
        <v>3</v>
      </c>
      <c r="B5" s="20">
        <v>12</v>
      </c>
      <c r="C5" s="19">
        <v>3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49.5" customHeight="1" x14ac:dyDescent="0.25">
      <c r="A6" s="21" t="s">
        <v>37</v>
      </c>
      <c r="B6" s="19">
        <v>2</v>
      </c>
      <c r="C6" s="19">
        <v>3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5">
      <c r="A8" s="18" t="s">
        <v>38</v>
      </c>
      <c r="B8" s="18"/>
      <c r="C8" s="18"/>
      <c r="D8" s="22"/>
      <c r="E8" s="22"/>
      <c r="F8" s="22"/>
      <c r="G8" s="22"/>
      <c r="H8" s="22"/>
      <c r="I8" s="22"/>
      <c r="J8" s="22"/>
      <c r="K8" s="22"/>
      <c r="L8" s="18"/>
      <c r="M8" s="18"/>
    </row>
    <row r="9" spans="1:13" x14ac:dyDescent="0.25">
      <c r="A9" s="18" t="s">
        <v>39</v>
      </c>
      <c r="B9" s="18"/>
      <c r="C9" s="18"/>
      <c r="D9" s="22"/>
      <c r="E9" s="22"/>
      <c r="F9" s="22"/>
      <c r="G9" s="22"/>
      <c r="H9" s="22"/>
      <c r="I9" s="22"/>
      <c r="J9" s="22"/>
      <c r="K9" s="22"/>
      <c r="L9" s="18"/>
      <c r="M9" s="18"/>
    </row>
    <row r="10" spans="1:13" x14ac:dyDescent="0.25">
      <c r="A10" s="18"/>
      <c r="B10" s="18"/>
      <c r="C10" s="18"/>
      <c r="D10" s="22"/>
      <c r="E10" s="18">
        <v>1</v>
      </c>
      <c r="F10" s="23" t="s">
        <v>40</v>
      </c>
      <c r="G10" s="23" t="s">
        <v>41</v>
      </c>
      <c r="H10" s="22"/>
      <c r="I10" s="22"/>
      <c r="J10" s="22"/>
      <c r="K10" s="22"/>
      <c r="L10" s="18"/>
      <c r="M10" s="18"/>
    </row>
    <row r="11" spans="1:13" x14ac:dyDescent="0.25">
      <c r="A11" s="18"/>
      <c r="B11" s="18"/>
      <c r="C11" s="18"/>
      <c r="D11" s="22"/>
      <c r="E11" s="18"/>
      <c r="F11" s="23">
        <v>-1</v>
      </c>
      <c r="G11" s="23">
        <f>(26-2*F11)/8</f>
        <v>3.5</v>
      </c>
      <c r="H11" s="22"/>
      <c r="I11" s="22"/>
      <c r="J11" s="22"/>
      <c r="K11" s="22"/>
      <c r="L11" s="18"/>
      <c r="M11" s="18"/>
    </row>
    <row r="12" spans="1:13" x14ac:dyDescent="0.25">
      <c r="A12" s="18"/>
      <c r="B12" s="18"/>
      <c r="C12" s="18"/>
      <c r="D12" s="22"/>
      <c r="E12" s="18"/>
      <c r="F12" s="23">
        <v>3</v>
      </c>
      <c r="G12" s="23">
        <f>(26-2*F12)/8</f>
        <v>2.5</v>
      </c>
      <c r="H12" s="22"/>
      <c r="I12" s="22"/>
      <c r="J12" s="22"/>
      <c r="K12" s="22"/>
      <c r="L12" s="18"/>
      <c r="M12" s="18"/>
    </row>
    <row r="13" spans="1:13" x14ac:dyDescent="0.25">
      <c r="A13" s="18"/>
      <c r="B13" s="18"/>
      <c r="C13" s="18"/>
      <c r="D13" s="22"/>
      <c r="E13" s="18"/>
      <c r="F13" s="18"/>
      <c r="G13" s="18"/>
      <c r="H13" s="22"/>
      <c r="I13" s="22"/>
      <c r="J13" s="22"/>
      <c r="K13" s="22"/>
      <c r="L13" s="18"/>
      <c r="M13" s="18"/>
    </row>
    <row r="14" spans="1:13" x14ac:dyDescent="0.25">
      <c r="A14" s="18"/>
      <c r="B14" s="18"/>
      <c r="C14" s="18"/>
      <c r="D14" s="22"/>
      <c r="E14" s="18">
        <v>2</v>
      </c>
      <c r="F14" s="23" t="s">
        <v>40</v>
      </c>
      <c r="G14" s="23" t="s">
        <v>41</v>
      </c>
      <c r="H14" s="22"/>
      <c r="I14" s="22"/>
      <c r="J14" s="22"/>
      <c r="K14" s="22"/>
      <c r="L14" s="18"/>
      <c r="M14" s="18"/>
    </row>
    <row r="15" spans="1:13" x14ac:dyDescent="0.25">
      <c r="A15" s="18"/>
      <c r="B15" s="18"/>
      <c r="C15" s="18"/>
      <c r="D15" s="22"/>
      <c r="E15" s="18"/>
      <c r="F15" s="23">
        <v>-2</v>
      </c>
      <c r="G15" s="23">
        <f>4-F15</f>
        <v>6</v>
      </c>
      <c r="H15" s="22"/>
      <c r="I15" s="22"/>
      <c r="J15" s="22"/>
      <c r="K15" s="22"/>
      <c r="L15" s="18"/>
      <c r="M15" s="18"/>
    </row>
    <row r="16" spans="1:13" x14ac:dyDescent="0.25">
      <c r="A16" s="18"/>
      <c r="B16" s="18"/>
      <c r="C16" s="18"/>
      <c r="D16" s="22"/>
      <c r="E16" s="18"/>
      <c r="F16" s="23">
        <v>4</v>
      </c>
      <c r="G16" s="23">
        <f>4-F16</f>
        <v>0</v>
      </c>
      <c r="H16" s="22"/>
      <c r="I16" s="22"/>
      <c r="J16" s="22"/>
      <c r="K16" s="22"/>
      <c r="L16" s="18"/>
      <c r="M16" s="18"/>
    </row>
    <row r="17" spans="1:13" x14ac:dyDescent="0.25">
      <c r="A17" s="18"/>
      <c r="B17" s="18"/>
      <c r="C17" s="18"/>
      <c r="D17" s="22"/>
      <c r="E17" s="18"/>
      <c r="F17" s="18"/>
      <c r="G17" s="18"/>
      <c r="H17" s="22"/>
      <c r="I17" s="22"/>
      <c r="J17" s="22"/>
      <c r="K17" s="22"/>
      <c r="L17" s="18"/>
      <c r="M17" s="18"/>
    </row>
    <row r="18" spans="1:13" x14ac:dyDescent="0.25">
      <c r="A18" s="18"/>
      <c r="B18" s="18"/>
      <c r="C18" s="18"/>
      <c r="D18" s="22"/>
      <c r="E18" s="18">
        <v>3</v>
      </c>
      <c r="F18" s="23" t="s">
        <v>40</v>
      </c>
      <c r="G18" s="23" t="s">
        <v>41</v>
      </c>
      <c r="H18" s="22"/>
      <c r="I18" s="22"/>
      <c r="J18" s="22"/>
      <c r="K18" s="22"/>
      <c r="L18" s="18"/>
      <c r="M18" s="18"/>
    </row>
    <row r="19" spans="1:13" x14ac:dyDescent="0.25">
      <c r="A19" s="18"/>
      <c r="B19" s="18" t="s">
        <v>40</v>
      </c>
      <c r="C19" s="18" t="s">
        <v>41</v>
      </c>
      <c r="D19" s="22"/>
      <c r="E19" s="18"/>
      <c r="F19" s="23">
        <v>0</v>
      </c>
      <c r="G19" s="23">
        <f>(39-12*F19)/3</f>
        <v>13</v>
      </c>
      <c r="H19" s="22"/>
      <c r="I19" s="22"/>
      <c r="J19" s="22"/>
      <c r="K19" s="22"/>
      <c r="L19" s="18"/>
      <c r="M19" s="18"/>
    </row>
    <row r="20" spans="1:13" x14ac:dyDescent="0.25">
      <c r="A20" s="18"/>
      <c r="B20" s="18">
        <v>3</v>
      </c>
      <c r="C20" s="18">
        <v>1</v>
      </c>
      <c r="D20" s="22"/>
      <c r="E20" s="18"/>
      <c r="F20" s="23">
        <v>4</v>
      </c>
      <c r="G20" s="23">
        <f>(39-12*F20)/3</f>
        <v>-3</v>
      </c>
      <c r="H20" s="22"/>
      <c r="I20" s="22"/>
      <c r="J20" s="22"/>
      <c r="K20" s="22"/>
      <c r="L20" s="18"/>
      <c r="M20" s="18"/>
    </row>
    <row r="21" spans="1:13" x14ac:dyDescent="0.25">
      <c r="A21" s="18"/>
      <c r="B21" s="18"/>
      <c r="C21" s="18"/>
      <c r="D21" s="22"/>
      <c r="E21" s="18"/>
      <c r="F21" s="18"/>
      <c r="G21" s="18"/>
      <c r="H21" s="22"/>
      <c r="I21" s="22"/>
      <c r="J21" s="22"/>
      <c r="K21" s="22"/>
      <c r="L21" s="18"/>
      <c r="M21" s="18"/>
    </row>
    <row r="22" spans="1:13" x14ac:dyDescent="0.25">
      <c r="A22" s="18"/>
      <c r="B22" s="18"/>
      <c r="C22" s="18"/>
      <c r="D22" s="22"/>
      <c r="E22" s="18">
        <v>4</v>
      </c>
      <c r="F22" s="23" t="s">
        <v>40</v>
      </c>
      <c r="G22" s="23" t="s">
        <v>41</v>
      </c>
      <c r="H22" s="22"/>
      <c r="I22" s="22"/>
      <c r="J22" s="22"/>
      <c r="K22" s="22"/>
      <c r="L22" s="18"/>
      <c r="M22" s="18"/>
    </row>
    <row r="23" spans="1:13" x14ac:dyDescent="0.25">
      <c r="A23" s="18"/>
      <c r="B23" s="18"/>
      <c r="C23" s="18"/>
      <c r="D23" s="22"/>
      <c r="E23" s="18"/>
      <c r="F23" s="23">
        <v>0</v>
      </c>
      <c r="G23" s="23">
        <v>4</v>
      </c>
      <c r="H23" s="22"/>
      <c r="I23" s="22"/>
      <c r="J23" s="22"/>
      <c r="K23" s="22"/>
      <c r="L23" s="18"/>
      <c r="M23" s="18"/>
    </row>
    <row r="24" spans="1:13" x14ac:dyDescent="0.25">
      <c r="A24" s="18"/>
      <c r="B24" s="18" t="s">
        <v>42</v>
      </c>
      <c r="C24" s="18">
        <f>(2*B20+3*C20)/(B20+C20)</f>
        <v>2.25</v>
      </c>
      <c r="D24" s="22"/>
      <c r="E24" s="18"/>
      <c r="F24" s="23">
        <v>0</v>
      </c>
      <c r="G24" s="23">
        <v>0</v>
      </c>
      <c r="H24" s="22"/>
      <c r="I24" s="22"/>
      <c r="J24" s="22"/>
      <c r="K24" s="22"/>
      <c r="L24" s="18"/>
      <c r="M24" s="18"/>
    </row>
    <row r="25" spans="1:13" x14ac:dyDescent="0.25">
      <c r="A25" s="18"/>
      <c r="B25" s="18"/>
      <c r="C25" s="18"/>
      <c r="D25" s="22"/>
      <c r="E25" s="18"/>
      <c r="F25" s="18"/>
      <c r="G25" s="18"/>
      <c r="H25" s="22"/>
      <c r="I25" s="22"/>
      <c r="J25" s="22"/>
      <c r="K25" s="22"/>
      <c r="L25" s="18"/>
      <c r="M25" s="18"/>
    </row>
    <row r="26" spans="1:13" x14ac:dyDescent="0.25">
      <c r="D26" s="22"/>
      <c r="E26" s="18">
        <v>5</v>
      </c>
      <c r="F26" s="23" t="s">
        <v>40</v>
      </c>
      <c r="G26" s="23" t="s">
        <v>41</v>
      </c>
      <c r="H26" s="22"/>
      <c r="I26" s="22"/>
      <c r="J26" s="22"/>
      <c r="K26" s="22"/>
    </row>
    <row r="27" spans="1:13" x14ac:dyDescent="0.25">
      <c r="E27" s="18"/>
      <c r="F27" s="23">
        <v>-1</v>
      </c>
      <c r="G27" s="23">
        <v>0</v>
      </c>
    </row>
    <row r="28" spans="1:13" x14ac:dyDescent="0.25">
      <c r="E28" s="18"/>
      <c r="F28" s="23">
        <v>5</v>
      </c>
      <c r="G28" s="23">
        <v>0</v>
      </c>
    </row>
    <row r="29" spans="1:13" x14ac:dyDescent="0.25">
      <c r="E29" s="18"/>
      <c r="F29" s="18"/>
      <c r="G29" s="18"/>
    </row>
  </sheetData>
  <mergeCells count="2">
    <mergeCell ref="A1:A2"/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Мат.модель</vt:lpstr>
      <vt:lpstr>С-З угол</vt:lpstr>
      <vt:lpstr>Наим.стоимость</vt:lpstr>
      <vt:lpstr>Метод потенциалов</vt:lpstr>
      <vt:lpstr>Поиск решения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2026-02-09T06:16:46Z</dcterms:modified>
</cp:coreProperties>
</file>