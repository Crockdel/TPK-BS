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1EAF9E40-DC3F-43B1-8FA9-9B27585F1D9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C11" i="1"/>
  <c r="C12" i="1"/>
  <c r="D20" i="1"/>
  <c r="D19" i="1"/>
  <c r="D16" i="1"/>
  <c r="D15" i="1"/>
  <c r="C8" i="1"/>
  <c r="C7" i="1"/>
</calcChain>
</file>

<file path=xl/sharedStrings.xml><?xml version="1.0" encoding="utf-8"?>
<sst xmlns="http://schemas.openxmlformats.org/spreadsheetml/2006/main" count="17" uniqueCount="5">
  <si>
    <t>Математическая модель</t>
  </si>
  <si>
    <t>Прямые для построения</t>
  </si>
  <si>
    <t>Система ограничений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</si>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</sst>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159667541557305E-2"/>
          <c:y val="6.437102264523939E-2"/>
          <c:w val="0.83906255468066504"/>
          <c:h val="0.870814059706133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Лист1!$C$3:$C$4</c:f>
              <c:numCache>
                <c:formatCode>General</c:formatCode>
                <c:ptCount val="2"/>
                <c:pt idx="0">
                  <c:v>9</c:v>
                </c:pt>
                <c:pt idx="1">
                  <c:v>-7</c:v>
                </c:pt>
              </c:numCache>
            </c:numRef>
          </c:xVal>
          <c:yVal>
            <c:numRef>
              <c:f>Лист1!$D$3:$D$4</c:f>
              <c:numCache>
                <c:formatCode>General</c:formatCode>
                <c:ptCount val="2"/>
                <c:pt idx="0">
                  <c:v>-1.8</c:v>
                </c:pt>
                <c:pt idx="1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1-41A6-A18D-473CFEF40973}"/>
            </c:ext>
          </c:extLst>
        </c:ser>
        <c:ser>
          <c:idx val="1"/>
          <c:order val="1"/>
          <c:tx>
            <c:strRef>
              <c:f>Лист1!$B$6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Лист1!$C$7:$C$8</c:f>
              <c:numCache>
                <c:formatCode>General</c:formatCode>
                <c:ptCount val="2"/>
                <c:pt idx="0">
                  <c:v>10</c:v>
                </c:pt>
                <c:pt idx="1">
                  <c:v>-2</c:v>
                </c:pt>
              </c:numCache>
            </c:numRef>
          </c:xVal>
          <c:yVal>
            <c:numRef>
              <c:f>Лист1!$D$7:$D$8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21-41A6-A18D-473CFEF40973}"/>
            </c:ext>
          </c:extLst>
        </c:ser>
        <c:ser>
          <c:idx val="2"/>
          <c:order val="2"/>
          <c:tx>
            <c:strRef>
              <c:f>Лист1!$B$10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Лист1!$C$11:$C$12</c:f>
              <c:numCache>
                <c:formatCode>General</c:formatCode>
                <c:ptCount val="2"/>
                <c:pt idx="0">
                  <c:v>-6</c:v>
                </c:pt>
                <c:pt idx="1">
                  <c:v>-6</c:v>
                </c:pt>
              </c:numCache>
            </c:numRef>
          </c:xVal>
          <c:yVal>
            <c:numRef>
              <c:f>Лист1!$D$11:$D$12</c:f>
              <c:numCache>
                <c:formatCode>General</c:formatCode>
                <c:ptCount val="2"/>
                <c:pt idx="0">
                  <c:v>3</c:v>
                </c:pt>
                <c:pt idx="1">
                  <c:v>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21-41A6-A18D-473CFEF40973}"/>
            </c:ext>
          </c:extLst>
        </c:ser>
        <c:ser>
          <c:idx val="3"/>
          <c:order val="3"/>
          <c:tx>
            <c:strRef>
              <c:f>Лист1!$B$14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Лист1!$C$15:$C$16</c:f>
              <c:numCache>
                <c:formatCode>General</c:formatCode>
                <c:ptCount val="2"/>
                <c:pt idx="0">
                  <c:v>-7</c:v>
                </c:pt>
                <c:pt idx="1">
                  <c:v>6</c:v>
                </c:pt>
              </c:numCache>
            </c:numRef>
          </c:xVal>
          <c:yVal>
            <c:numRef>
              <c:f>Лист1!$D$15:$D$16</c:f>
              <c:numCache>
                <c:formatCode>General</c:formatCode>
                <c:ptCount val="2"/>
                <c:pt idx="0">
                  <c:v>-3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21-41A6-A18D-473CFEF40973}"/>
            </c:ext>
          </c:extLst>
        </c:ser>
        <c:ser>
          <c:idx val="4"/>
          <c:order val="4"/>
          <c:tx>
            <c:strRef>
              <c:f>Лист1!$B$18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Лист1!$C$19:$C$20</c:f>
              <c:numCache>
                <c:formatCode>General</c:formatCode>
                <c:ptCount val="2"/>
                <c:pt idx="0">
                  <c:v>-2</c:v>
                </c:pt>
                <c:pt idx="1">
                  <c:v>6</c:v>
                </c:pt>
              </c:numCache>
            </c:numRef>
          </c:xVal>
          <c:yVal>
            <c:numRef>
              <c:f>Лист1!$D$19:$D$20</c:f>
              <c:numCache>
                <c:formatCode>General</c:formatCode>
                <c:ptCount val="2"/>
                <c:pt idx="0">
                  <c:v>9</c:v>
                </c:pt>
                <c:pt idx="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21-41A6-A18D-473CFEF40973}"/>
            </c:ext>
          </c:extLst>
        </c:ser>
        <c:ser>
          <c:idx val="5"/>
          <c:order val="5"/>
          <c:tx>
            <c:strRef>
              <c:f>Лист1!$B$22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Лист1!$C$23:$C$24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Лист1!$D$23:$D$24</c:f>
              <c:numCache>
                <c:formatCode>General</c:formatCode>
                <c:ptCount val="2"/>
                <c:pt idx="0">
                  <c:v>-6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21-41A6-A18D-473CFEF40973}"/>
            </c:ext>
          </c:extLst>
        </c:ser>
        <c:ser>
          <c:idx val="6"/>
          <c:order val="6"/>
          <c:tx>
            <c:strRef>
              <c:f>Лист1!$B$26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Лист1!$C$27:$C$28</c:f>
              <c:numCache>
                <c:formatCode>General</c:formatCode>
                <c:ptCount val="2"/>
                <c:pt idx="0">
                  <c:v>-2</c:v>
                </c:pt>
                <c:pt idx="1">
                  <c:v>6</c:v>
                </c:pt>
              </c:numCache>
            </c:numRef>
          </c:xVal>
          <c:yVal>
            <c:numRef>
              <c:f>Лист1!$D$27:$D$28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21-41A6-A18D-473CFEF40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132176"/>
        <c:axId val="1763142736"/>
      </c:scatterChart>
      <c:valAx>
        <c:axId val="176313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142736"/>
        <c:crosses val="autoZero"/>
        <c:crossBetween val="midCat"/>
      </c:valAx>
      <c:valAx>
        <c:axId val="17631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13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60293</xdr:colOff>
      <xdr:row>2</xdr:row>
      <xdr:rowOff>51276</xdr:rowOff>
    </xdr:from>
    <xdr:ext cx="1124219" cy="10506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7090EAC-AC36-1ED1-C55E-05C89E6E75E0}"/>
                </a:ext>
              </a:extLst>
            </xdr:cNvPr>
            <xdr:cNvSpPr txBox="1"/>
          </xdr:nvSpPr>
          <xdr:spPr>
            <a:xfrm>
              <a:off x="3108293" y="432276"/>
              <a:ext cx="1124219" cy="1050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+2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≤14,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≤36,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+2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≥4,</m:t>
                            </m:r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−3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+2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≤6,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≥0, 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7090EAC-AC36-1ED1-C55E-05C89E6E75E0}"/>
                </a:ext>
              </a:extLst>
            </xdr:cNvPr>
            <xdr:cNvSpPr txBox="1"/>
          </xdr:nvSpPr>
          <xdr:spPr>
            <a:xfrm>
              <a:off x="3108293" y="432276"/>
              <a:ext cx="1124219" cy="1050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</a:t>
              </a:r>
              <a:r>
                <a:rPr lang="ru-RU" sz="1100" b="0" i="0">
                  <a:latin typeface="Cambria Math" panose="02040503050406030204" pitchFamily="18" charset="0"/>
                </a:rPr>
                <a:t>█(−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1+5𝑥_2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≥0,@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1+2𝑥_2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≤14,@</a:t>
              </a:r>
              <a:r>
                <a:rPr lang="en-US" sz="1100" b="0" i="0">
                  <a:latin typeface="Cambria Math" panose="02040503050406030204" pitchFamily="18" charset="0"/>
                </a:rPr>
                <a:t>6𝑥_1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≤36,@2𝑥_1+2𝑥_2≥4,@−3𝑥_1+2𝑥_2≤6,@𝑥_1≥0, 𝑥_2≥0)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60293</xdr:colOff>
      <xdr:row>9</xdr:row>
      <xdr:rowOff>79851</xdr:rowOff>
    </xdr:from>
    <xdr:ext cx="1595180" cy="20172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15A7ED-0193-B43A-CA54-7FEEA2CAB05D}"/>
                </a:ext>
              </a:extLst>
            </xdr:cNvPr>
            <xdr:cNvSpPr txBox="1"/>
          </xdr:nvSpPr>
          <xdr:spPr>
            <a:xfrm>
              <a:off x="3108293" y="1794351"/>
              <a:ext cx="1595180" cy="201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ba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=6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−4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𝑒𝑥𝑡𝑟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15A7ED-0193-B43A-CA54-7FEEA2CAB05D}"/>
                </a:ext>
              </a:extLst>
            </xdr:cNvPr>
            <xdr:cNvSpPr txBox="1"/>
          </xdr:nvSpPr>
          <xdr:spPr>
            <a:xfrm>
              <a:off x="3108293" y="1794351"/>
              <a:ext cx="1595180" cy="2017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𝐹(¯𝑋)=6𝑥_1−4𝑥_2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→𝑒𝑥𝑡𝑟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31718</xdr:colOff>
      <xdr:row>14</xdr:row>
      <xdr:rowOff>89376</xdr:rowOff>
    </xdr:from>
    <xdr:ext cx="1237262" cy="192693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9F4D6D-F0F7-108C-9D86-4F3CD6421F7D}"/>
                </a:ext>
              </a:extLst>
            </xdr:cNvPr>
            <xdr:cNvSpPr txBox="1"/>
          </xdr:nvSpPr>
          <xdr:spPr>
            <a:xfrm>
              <a:off x="3079718" y="2756376"/>
              <a:ext cx="1237262" cy="1926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−5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(1)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=14−2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(2)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36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−6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(3)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4−2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(4)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6+3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den>
                            </m:f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, (5)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=0, (6)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=0, (7)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9F4D6D-F0F7-108C-9D86-4F3CD6421F7D}"/>
                </a:ext>
              </a:extLst>
            </xdr:cNvPr>
            <xdr:cNvSpPr txBox="1"/>
          </xdr:nvSpPr>
          <xdr:spPr>
            <a:xfrm>
              <a:off x="3079718" y="2756376"/>
              <a:ext cx="1237262" cy="19269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2=𝑥_1/(−5), (1)@𝑥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1=14−2𝑥_2, (2)@𝑥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1=36/(−6), (3)@𝑥_2=(4−2𝑥_1)/(−2), (4)@𝑥_2=(6+3𝑥_1)/(−2), (5)@𝑥_1=0, (6)@𝑥_2=0, (7))</a:t>
              </a:r>
              <a:r>
                <a:rPr lang="ru-RU" sz="1100" b="0" i="0">
                  <a:latin typeface="Cambria Math" panose="02040503050406030204" pitchFamily="18" charset="0"/>
                </a:rPr>
                <a:t>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7</xdr:col>
      <xdr:colOff>276225</xdr:colOff>
      <xdr:row>3</xdr:row>
      <xdr:rowOff>95250</xdr:rowOff>
    </xdr:from>
    <xdr:to>
      <xdr:col>14</xdr:col>
      <xdr:colOff>581025</xdr:colOff>
      <xdr:row>18</xdr:row>
      <xdr:rowOff>119062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34ED913-8FFD-6602-EC5C-919329CF3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topLeftCell="B1" workbookViewId="0">
      <selection activeCell="D12" sqref="D12"/>
    </sheetView>
  </sheetViews>
  <sheetFormatPr defaultRowHeight="15" x14ac:dyDescent="0.25"/>
  <sheetData>
    <row r="1" spans="2:6" x14ac:dyDescent="0.25">
      <c r="B1" t="s">
        <v>2</v>
      </c>
    </row>
    <row r="2" spans="2:6" x14ac:dyDescent="0.25">
      <c r="B2">
        <v>1</v>
      </c>
      <c r="C2" s="1" t="s">
        <v>3</v>
      </c>
      <c r="D2" s="1" t="s">
        <v>4</v>
      </c>
      <c r="F2" t="s">
        <v>0</v>
      </c>
    </row>
    <row r="3" spans="2:6" x14ac:dyDescent="0.25">
      <c r="C3" s="1">
        <v>9</v>
      </c>
      <c r="D3" s="1">
        <f>C3/(-5)</f>
        <v>-1.8</v>
      </c>
    </row>
    <row r="4" spans="2:6" x14ac:dyDescent="0.25">
      <c r="C4" s="1">
        <v>-7</v>
      </c>
      <c r="D4" s="1">
        <f>C4/(-5)</f>
        <v>1.4</v>
      </c>
    </row>
    <row r="6" spans="2:6" x14ac:dyDescent="0.25">
      <c r="B6">
        <v>2</v>
      </c>
      <c r="C6" s="1" t="s">
        <v>3</v>
      </c>
      <c r="D6" s="1" t="s">
        <v>4</v>
      </c>
    </row>
    <row r="7" spans="2:6" x14ac:dyDescent="0.25">
      <c r="C7" s="1">
        <f>14-2*D7</f>
        <v>10</v>
      </c>
      <c r="D7" s="1">
        <v>2</v>
      </c>
    </row>
    <row r="8" spans="2:6" x14ac:dyDescent="0.25">
      <c r="C8" s="1">
        <f>14-2*D8</f>
        <v>-2</v>
      </c>
      <c r="D8" s="1">
        <v>8</v>
      </c>
    </row>
    <row r="10" spans="2:6" x14ac:dyDescent="0.25">
      <c r="B10">
        <v>3</v>
      </c>
      <c r="C10" s="1" t="s">
        <v>3</v>
      </c>
      <c r="D10" s="1" t="s">
        <v>4</v>
      </c>
    </row>
    <row r="11" spans="2:6" x14ac:dyDescent="0.25">
      <c r="C11" s="1">
        <f>36/(-6)</f>
        <v>-6</v>
      </c>
      <c r="D11" s="1">
        <v>3</v>
      </c>
    </row>
    <row r="12" spans="2:6" x14ac:dyDescent="0.25">
      <c r="C12" s="1">
        <f>36/(-6)</f>
        <v>-6</v>
      </c>
      <c r="D12" s="1">
        <v>-5</v>
      </c>
    </row>
    <row r="14" spans="2:6" x14ac:dyDescent="0.25">
      <c r="B14">
        <v>4</v>
      </c>
      <c r="C14" s="1" t="s">
        <v>3</v>
      </c>
      <c r="D14" s="1" t="s">
        <v>4</v>
      </c>
      <c r="F14" t="s">
        <v>1</v>
      </c>
    </row>
    <row r="15" spans="2:6" x14ac:dyDescent="0.25">
      <c r="C15" s="1">
        <v>-7</v>
      </c>
      <c r="D15" s="1">
        <f>4-2*C15/(-2)</f>
        <v>-3</v>
      </c>
    </row>
    <row r="16" spans="2:6" x14ac:dyDescent="0.25">
      <c r="C16" s="1">
        <v>6</v>
      </c>
      <c r="D16" s="1">
        <f>4-2*C16/(-2)</f>
        <v>10</v>
      </c>
    </row>
    <row r="18" spans="2:4" x14ac:dyDescent="0.25">
      <c r="B18">
        <v>5</v>
      </c>
      <c r="C18" s="1" t="s">
        <v>3</v>
      </c>
      <c r="D18" s="1" t="s">
        <v>4</v>
      </c>
    </row>
    <row r="19" spans="2:4" x14ac:dyDescent="0.25">
      <c r="C19" s="1">
        <v>-2</v>
      </c>
      <c r="D19" s="1">
        <f>6+3*C19/(-2)</f>
        <v>9</v>
      </c>
    </row>
    <row r="20" spans="2:4" x14ac:dyDescent="0.25">
      <c r="C20" s="1">
        <v>6</v>
      </c>
      <c r="D20" s="1">
        <f>6+3*C20/(-2)</f>
        <v>-3</v>
      </c>
    </row>
    <row r="22" spans="2:4" x14ac:dyDescent="0.25">
      <c r="B22">
        <v>6</v>
      </c>
      <c r="C22" s="1" t="s">
        <v>3</v>
      </c>
      <c r="D22" s="1" t="s">
        <v>4</v>
      </c>
    </row>
    <row r="23" spans="2:4" x14ac:dyDescent="0.25">
      <c r="C23" s="1">
        <v>0</v>
      </c>
      <c r="D23" s="1">
        <v>-6</v>
      </c>
    </row>
    <row r="24" spans="2:4" x14ac:dyDescent="0.25">
      <c r="C24" s="1">
        <v>0</v>
      </c>
      <c r="D24" s="1">
        <v>8</v>
      </c>
    </row>
    <row r="26" spans="2:4" x14ac:dyDescent="0.25">
      <c r="B26">
        <v>7</v>
      </c>
      <c r="C26" s="1" t="s">
        <v>3</v>
      </c>
      <c r="D26" s="1" t="s">
        <v>4</v>
      </c>
    </row>
    <row r="27" spans="2:4" x14ac:dyDescent="0.25">
      <c r="C27" s="1">
        <v>-2</v>
      </c>
      <c r="D27" s="1">
        <v>0</v>
      </c>
    </row>
    <row r="28" spans="2:4" x14ac:dyDescent="0.25">
      <c r="C28" s="1">
        <v>6</v>
      </c>
      <c r="D28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2026-02-02T06:34:14Z</dcterms:modified>
</cp:coreProperties>
</file>