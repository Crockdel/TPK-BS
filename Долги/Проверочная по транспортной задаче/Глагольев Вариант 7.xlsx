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40 мм\"/>
    </mc:Choice>
  </mc:AlternateContent>
  <xr:revisionPtr revIDLastSave="0" documentId="13_ncr:1_{1330FE29-3418-47AA-B7A8-9DA3D9570FC7}" xr6:coauthVersionLast="47" xr6:coauthVersionMax="47" xr10:uidLastSave="{00000000-0000-0000-0000-000000000000}"/>
  <bookViews>
    <workbookView xWindow="-120" yWindow="-120" windowWidth="29040" windowHeight="15840" activeTab="2" xr2:uid="{B2B48799-801F-40BD-9201-E150BC7ECC5B}"/>
  </bookViews>
  <sheets>
    <sheet name="Мат. модель" sheetId="1" r:id="rId1"/>
    <sheet name="Поиск решения" sheetId="2" r:id="rId2"/>
    <sheet name="Метод потенциалов" sheetId="3" r:id="rId3"/>
  </sheets>
  <definedNames>
    <definedName name="solver_adj" localSheetId="1" hidden="1">'Поиск решения'!$B$12:$E$14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'Поиск решения'!$B$12:$E$14</definedName>
    <definedName name="solver_lhs2" localSheetId="1" hidden="1">'Поиск решения'!$B$12:$F$15</definedName>
    <definedName name="solver_lhs3" localSheetId="1" hidden="1">'Поиск решения'!$B$15:$E$15</definedName>
    <definedName name="solver_lhs4" localSheetId="1" hidden="1">'Поиск решения'!$F$12:$F$14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4</definedName>
    <definedName name="solver_nwt" localSheetId="1" hidden="1">1</definedName>
    <definedName name="solver_opt" localSheetId="1" hidden="1">'Поиск решения'!$B$17</definedName>
    <definedName name="solver_pre" localSheetId="1" hidden="1">0.000001</definedName>
    <definedName name="solver_rbv" localSheetId="1" hidden="1">1</definedName>
    <definedName name="solver_rel1" localSheetId="1" hidden="1">4</definedName>
    <definedName name="solver_rel2" localSheetId="1" hidden="1">3</definedName>
    <definedName name="solver_rel3" localSheetId="1" hidden="1">2</definedName>
    <definedName name="solver_rel4" localSheetId="1" hidden="1">2</definedName>
    <definedName name="solver_rhs1" localSheetId="1" hidden="1">"целое"</definedName>
    <definedName name="solver_rhs2" localSheetId="1" hidden="1">0</definedName>
    <definedName name="solver_rhs3" localSheetId="1" hidden="1">'Поиск решения'!$B$6:$E$6</definedName>
    <definedName name="solver_rhs4" localSheetId="1" hidden="1">'Поиск решения'!$F$3:$F$5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2" l="1"/>
  <c r="F12" i="2"/>
  <c r="E15" i="2"/>
  <c r="D15" i="2"/>
  <c r="C15" i="2"/>
  <c r="B15" i="2"/>
  <c r="F13" i="2"/>
  <c r="B17" i="2"/>
  <c r="F10" i="1"/>
  <c r="G9" i="1"/>
</calcChain>
</file>

<file path=xl/sharedStrings.xml><?xml version="1.0" encoding="utf-8"?>
<sst xmlns="http://schemas.openxmlformats.org/spreadsheetml/2006/main" count="50" uniqueCount="21">
  <si>
    <t>Потребители</t>
  </si>
  <si>
    <t>Шахты</t>
  </si>
  <si>
    <t>Западная</t>
  </si>
  <si>
    <t>Варгашорская</t>
  </si>
  <si>
    <t>Комсомольская</t>
  </si>
  <si>
    <t>Заявки, тыс. т</t>
  </si>
  <si>
    <t>А</t>
  </si>
  <si>
    <t>В</t>
  </si>
  <si>
    <t>С</t>
  </si>
  <si>
    <t>Д</t>
  </si>
  <si>
    <t>Добыча угля, тыс. т. в неделю</t>
  </si>
  <si>
    <t>F(X)=</t>
  </si>
  <si>
    <r>
      <t>Шахты, u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</si>
  <si>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Потребители, v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</si>
  <si>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u</t>
    </r>
    <r>
      <rPr>
        <sz val="8"/>
        <color rgb="FF333333"/>
        <rFont val="Calibri"/>
        <family val="2"/>
        <charset val="204"/>
        <scheme val="minor"/>
      </rPr>
      <t>1</t>
    </r>
    <r>
      <rPr>
        <sz val="11"/>
        <color rgb="FF333333"/>
        <rFont val="Calibri"/>
        <family val="2"/>
        <charset val="204"/>
        <scheme val="minor"/>
      </rPr>
      <t> + v</t>
    </r>
    <r>
      <rPr>
        <sz val="8"/>
        <color rgb="FF333333"/>
        <rFont val="Calibri"/>
        <family val="2"/>
        <charset val="204"/>
        <scheme val="minor"/>
      </rPr>
      <t>1</t>
    </r>
    <r>
      <rPr>
        <sz val="11"/>
        <color rgb="FF333333"/>
        <rFont val="Calibri"/>
        <family val="2"/>
        <charset val="204"/>
        <scheme val="minor"/>
      </rPr>
      <t> = 70</t>
    </r>
  </si>
  <si>
    <r>
      <t>u</t>
    </r>
    <r>
      <rPr>
        <sz val="8"/>
        <color rgb="FF333333"/>
        <rFont val="Calibri"/>
        <family val="2"/>
        <charset val="204"/>
        <scheme val="minor"/>
      </rPr>
      <t>2</t>
    </r>
    <r>
      <rPr>
        <sz val="11"/>
        <color rgb="FF333333"/>
        <rFont val="Calibri"/>
        <family val="2"/>
        <charset val="204"/>
        <scheme val="minor"/>
      </rPr>
      <t> + v</t>
    </r>
    <r>
      <rPr>
        <sz val="8"/>
        <color rgb="FF333333"/>
        <rFont val="Calibri"/>
        <family val="2"/>
        <charset val="204"/>
        <scheme val="minor"/>
      </rPr>
      <t>1</t>
    </r>
    <r>
      <rPr>
        <sz val="11"/>
        <color rgb="FF333333"/>
        <rFont val="Calibri"/>
        <family val="2"/>
        <charset val="204"/>
        <scheme val="minor"/>
      </rPr>
      <t> = 80</t>
    </r>
  </si>
  <si>
    <r>
      <t>u</t>
    </r>
    <r>
      <rPr>
        <sz val="8"/>
        <color rgb="FF333333"/>
        <rFont val="Calibri"/>
        <family val="2"/>
        <charset val="204"/>
        <scheme val="minor"/>
      </rPr>
      <t>2</t>
    </r>
    <r>
      <rPr>
        <sz val="11"/>
        <color rgb="FF333333"/>
        <rFont val="Calibri"/>
        <family val="2"/>
        <charset val="204"/>
        <scheme val="minor"/>
      </rPr>
      <t> + v</t>
    </r>
    <r>
      <rPr>
        <sz val="8"/>
        <color rgb="FF333333"/>
        <rFont val="Calibri"/>
        <family val="2"/>
        <charset val="204"/>
        <scheme val="minor"/>
      </rPr>
      <t>2</t>
    </r>
    <r>
      <rPr>
        <sz val="11"/>
        <color rgb="FF333333"/>
        <rFont val="Calibri"/>
        <family val="2"/>
        <charset val="204"/>
        <scheme val="minor"/>
      </rPr>
      <t> = 84</t>
    </r>
  </si>
  <si>
    <r>
      <t>u</t>
    </r>
    <r>
      <rPr>
        <sz val="8"/>
        <color rgb="FF333333"/>
        <rFont val="Calibri"/>
        <family val="2"/>
        <charset val="204"/>
        <scheme val="minor"/>
      </rPr>
      <t>3</t>
    </r>
    <r>
      <rPr>
        <sz val="11"/>
        <color rgb="FF333333"/>
        <rFont val="Calibri"/>
        <family val="2"/>
        <charset val="204"/>
        <scheme val="minor"/>
      </rPr>
      <t> + v</t>
    </r>
    <r>
      <rPr>
        <sz val="8"/>
        <color rgb="FF333333"/>
        <rFont val="Calibri"/>
        <family val="2"/>
        <charset val="204"/>
        <scheme val="minor"/>
      </rPr>
      <t>2</t>
    </r>
    <r>
      <rPr>
        <sz val="11"/>
        <color rgb="FF333333"/>
        <rFont val="Calibri"/>
        <family val="2"/>
        <charset val="204"/>
        <scheme val="minor"/>
      </rPr>
      <t> = 83</t>
    </r>
  </si>
  <si>
    <r>
      <t>u</t>
    </r>
    <r>
      <rPr>
        <sz val="8"/>
        <color rgb="FF333333"/>
        <rFont val="Calibri"/>
        <family val="2"/>
        <charset val="204"/>
        <scheme val="minor"/>
      </rPr>
      <t>2</t>
    </r>
    <r>
      <rPr>
        <sz val="11"/>
        <color rgb="FF333333"/>
        <rFont val="Calibri"/>
        <family val="2"/>
        <charset val="204"/>
        <scheme val="minor"/>
      </rPr>
      <t> + v</t>
    </r>
    <r>
      <rPr>
        <sz val="8"/>
        <color rgb="FF333333"/>
        <rFont val="Calibri"/>
        <family val="2"/>
        <charset val="204"/>
        <scheme val="minor"/>
      </rPr>
      <t>3</t>
    </r>
    <r>
      <rPr>
        <sz val="11"/>
        <color rgb="FF333333"/>
        <rFont val="Calibri"/>
        <family val="2"/>
        <charset val="204"/>
        <scheme val="minor"/>
      </rPr>
      <t> = 82</t>
    </r>
  </si>
  <si>
    <r>
      <t>u</t>
    </r>
    <r>
      <rPr>
        <sz val="8"/>
        <color rgb="FF333333"/>
        <rFont val="Calibri"/>
        <family val="2"/>
        <charset val="204"/>
        <scheme val="minor"/>
      </rPr>
      <t>1</t>
    </r>
    <r>
      <rPr>
        <sz val="11"/>
        <color rgb="FF333333"/>
        <rFont val="Calibri"/>
        <family val="2"/>
        <charset val="204"/>
        <scheme val="minor"/>
      </rPr>
      <t> + v</t>
    </r>
    <r>
      <rPr>
        <sz val="8"/>
        <color rgb="FF333333"/>
        <rFont val="Calibri"/>
        <family val="2"/>
        <charset val="204"/>
        <scheme val="minor"/>
      </rPr>
      <t>4</t>
    </r>
    <r>
      <rPr>
        <sz val="11"/>
        <color rgb="FF333333"/>
        <rFont val="Calibri"/>
        <family val="2"/>
        <charset val="204"/>
        <scheme val="minor"/>
      </rPr>
      <t> = 68</t>
    </r>
  </si>
  <si>
    <t>16           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</si>
</sst>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rgb="FF333333"/>
      <name val="Calibri"/>
      <family val="2"/>
      <charset val="204"/>
      <scheme val="minor"/>
    </font>
    <font>
      <sz val="8"/>
      <color rgb="FF33333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3" xfId="0" applyBorder="1" applyAlignment="1">
      <alignment horizontal="right"/>
    </xf>
    <xf numFmtId="0" fontId="0" fillId="0" borderId="2" xfId="0" applyBorder="1"/>
    <xf numFmtId="0" fontId="0" fillId="0" borderId="2" xfId="0" applyBorder="1" applyAlignment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right" vertical="center"/>
    </xf>
    <xf numFmtId="0" fontId="0" fillId="0" borderId="0" xfId="0" applyBorder="1" applyAlignment="1"/>
    <xf numFmtId="0" fontId="0" fillId="0" borderId="0" xfId="0" applyBorder="1" applyAlignment="1">
      <alignment horizontal="right"/>
    </xf>
    <xf numFmtId="0" fontId="0" fillId="0" borderId="0" xfId="0" applyAlignment="1">
      <alignment vertical="center"/>
    </xf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11</xdr:row>
      <xdr:rowOff>161925</xdr:rowOff>
    </xdr:from>
    <xdr:to>
      <xdr:col>3</xdr:col>
      <xdr:colOff>209550</xdr:colOff>
      <xdr:row>20</xdr:row>
      <xdr:rowOff>180975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858AE93-AF35-B611-9B36-3B33C3598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371725"/>
          <a:ext cx="2171700" cy="173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238125</xdr:colOff>
      <xdr:row>21</xdr:row>
      <xdr:rowOff>180975</xdr:rowOff>
    </xdr:from>
    <xdr:to>
      <xdr:col>8</xdr:col>
      <xdr:colOff>447675</xdr:colOff>
      <xdr:row>24</xdr:row>
      <xdr:rowOff>38100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CA5F00F-9F0B-96E6-B7A1-CBE8A35FC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4295775"/>
          <a:ext cx="615315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247650</xdr:colOff>
      <xdr:row>11</xdr:row>
      <xdr:rowOff>57149</xdr:rowOff>
    </xdr:from>
    <xdr:to>
      <xdr:col>7</xdr:col>
      <xdr:colOff>152400</xdr:colOff>
      <xdr:row>17</xdr:row>
      <xdr:rowOff>19050</xdr:rowOff>
    </xdr:to>
    <xdr:sp macro="" textlink="">
      <xdr:nvSpPr>
        <xdr:cNvPr id="2" name="Левая фигурная скобка 1">
          <a:extLst>
            <a:ext uri="{FF2B5EF4-FFF2-40B4-BE49-F238E27FC236}">
              <a16:creationId xmlns:a16="http://schemas.microsoft.com/office/drawing/2014/main" id="{25D67C96-48DD-4C5E-B1EA-FEF81200CEFF}"/>
            </a:ext>
          </a:extLst>
        </xdr:cNvPr>
        <xdr:cNvSpPr/>
      </xdr:nvSpPr>
      <xdr:spPr>
        <a:xfrm>
          <a:off x="4371975" y="2190749"/>
          <a:ext cx="514350" cy="1104901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67616-9B4F-4ED9-B9B6-0D9FFE3ABFBB}">
  <dimension ref="A1:G10"/>
  <sheetViews>
    <sheetView workbookViewId="0">
      <selection activeCell="H12" sqref="H12"/>
    </sheetView>
  </sheetViews>
  <sheetFormatPr defaultRowHeight="15" x14ac:dyDescent="0.25"/>
  <cols>
    <col min="1" max="1" width="16.140625" customWidth="1"/>
    <col min="6" max="6" width="18.140625" customWidth="1"/>
  </cols>
  <sheetData>
    <row r="1" spans="1:7" x14ac:dyDescent="0.25">
      <c r="A1" s="1" t="s">
        <v>1</v>
      </c>
      <c r="B1" s="11" t="s">
        <v>0</v>
      </c>
      <c r="C1" s="12"/>
      <c r="D1" s="12"/>
      <c r="E1" s="13"/>
      <c r="F1" s="18" t="s">
        <v>10</v>
      </c>
      <c r="G1" s="16"/>
    </row>
    <row r="2" spans="1:7" ht="24" customHeight="1" x14ac:dyDescent="0.25">
      <c r="A2" s="4"/>
      <c r="B2" s="5" t="s">
        <v>6</v>
      </c>
      <c r="C2" s="5" t="s">
        <v>7</v>
      </c>
      <c r="D2" s="5" t="s">
        <v>8</v>
      </c>
      <c r="E2" s="5" t="s">
        <v>9</v>
      </c>
      <c r="F2" s="18"/>
      <c r="G2" s="16"/>
    </row>
    <row r="3" spans="1:7" x14ac:dyDescent="0.25">
      <c r="A3" s="3" t="s">
        <v>2</v>
      </c>
      <c r="B3" s="6">
        <v>70</v>
      </c>
      <c r="C3" s="6">
        <v>76</v>
      </c>
      <c r="D3" s="6">
        <v>72</v>
      </c>
      <c r="E3" s="6">
        <v>68</v>
      </c>
      <c r="F3" s="2">
        <v>32</v>
      </c>
      <c r="G3" s="17"/>
    </row>
    <row r="4" spans="1:7" x14ac:dyDescent="0.25">
      <c r="A4" s="3"/>
      <c r="B4" s="7"/>
      <c r="C4" s="7"/>
      <c r="D4" s="7"/>
      <c r="E4" s="7"/>
      <c r="F4" s="2"/>
      <c r="G4" s="17"/>
    </row>
    <row r="5" spans="1:7" x14ac:dyDescent="0.25">
      <c r="A5" s="3" t="s">
        <v>3</v>
      </c>
      <c r="B5" s="6">
        <v>80</v>
      </c>
      <c r="C5" s="6">
        <v>84</v>
      </c>
      <c r="D5" s="6">
        <v>82</v>
      </c>
      <c r="E5" s="6">
        <v>77</v>
      </c>
      <c r="F5" s="2">
        <v>26</v>
      </c>
      <c r="G5" s="17"/>
    </row>
    <row r="6" spans="1:7" x14ac:dyDescent="0.25">
      <c r="A6" s="3"/>
      <c r="B6" s="7"/>
      <c r="C6" s="7"/>
      <c r="D6" s="7"/>
      <c r="E6" s="7"/>
      <c r="F6" s="2"/>
      <c r="G6" s="17"/>
    </row>
    <row r="7" spans="1:7" x14ac:dyDescent="0.25">
      <c r="A7" s="3" t="s">
        <v>4</v>
      </c>
      <c r="B7" s="6">
        <v>80</v>
      </c>
      <c r="C7" s="6">
        <v>83</v>
      </c>
      <c r="D7" s="6">
        <v>82</v>
      </c>
      <c r="E7" s="6">
        <v>76</v>
      </c>
      <c r="F7" s="2">
        <v>17</v>
      </c>
      <c r="G7" s="17"/>
    </row>
    <row r="8" spans="1:7" x14ac:dyDescent="0.25">
      <c r="A8" s="3"/>
      <c r="B8" s="8"/>
      <c r="C8" s="8"/>
      <c r="D8" s="8"/>
      <c r="E8" s="8"/>
      <c r="F8" s="2"/>
      <c r="G8" s="17"/>
    </row>
    <row r="9" spans="1:7" x14ac:dyDescent="0.25">
      <c r="A9" s="9" t="s">
        <v>5</v>
      </c>
      <c r="B9" s="9">
        <v>28</v>
      </c>
      <c r="C9" s="9">
        <v>19</v>
      </c>
      <c r="D9" s="9">
        <v>12</v>
      </c>
      <c r="E9" s="9">
        <v>16</v>
      </c>
      <c r="F9" s="9"/>
      <c r="G9" s="15">
        <f>SUM(B9:E9)</f>
        <v>75</v>
      </c>
    </row>
    <row r="10" spans="1:7" x14ac:dyDescent="0.25">
      <c r="F10" s="15">
        <f>SUM(F3:F8)</f>
        <v>75</v>
      </c>
    </row>
  </sheetData>
  <mergeCells count="13">
    <mergeCell ref="A7:A8"/>
    <mergeCell ref="G7:G8"/>
    <mergeCell ref="F1:F2"/>
    <mergeCell ref="F3:F4"/>
    <mergeCell ref="F5:F6"/>
    <mergeCell ref="F7:F8"/>
    <mergeCell ref="A1:A2"/>
    <mergeCell ref="G1:G2"/>
    <mergeCell ref="A3:A4"/>
    <mergeCell ref="G3:G4"/>
    <mergeCell ref="A5:A6"/>
    <mergeCell ref="G5:G6"/>
    <mergeCell ref="B1:E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8B831-E81A-47DE-A580-413DDB4271F8}">
  <dimension ref="A1:F17"/>
  <sheetViews>
    <sheetView workbookViewId="0">
      <selection activeCell="F13" sqref="F13"/>
    </sheetView>
  </sheetViews>
  <sheetFormatPr defaultRowHeight="15" x14ac:dyDescent="0.25"/>
  <cols>
    <col min="1" max="1" width="16.5703125" customWidth="1"/>
    <col min="6" max="6" width="13.42578125" customWidth="1"/>
  </cols>
  <sheetData>
    <row r="1" spans="1:6" x14ac:dyDescent="0.25">
      <c r="A1" s="1" t="s">
        <v>1</v>
      </c>
      <c r="B1" s="11" t="s">
        <v>0</v>
      </c>
      <c r="C1" s="12"/>
      <c r="D1" s="12"/>
      <c r="E1" s="13"/>
      <c r="F1" s="18" t="s">
        <v>10</v>
      </c>
    </row>
    <row r="2" spans="1:6" ht="27.75" customHeight="1" x14ac:dyDescent="0.25">
      <c r="A2" s="4"/>
      <c r="B2" s="5" t="s">
        <v>6</v>
      </c>
      <c r="C2" s="5" t="s">
        <v>7</v>
      </c>
      <c r="D2" s="5" t="s">
        <v>8</v>
      </c>
      <c r="E2" s="5" t="s">
        <v>9</v>
      </c>
      <c r="F2" s="18"/>
    </row>
    <row r="3" spans="1:6" x14ac:dyDescent="0.25">
      <c r="A3" s="19" t="s">
        <v>2</v>
      </c>
      <c r="B3" s="6">
        <v>70</v>
      </c>
      <c r="C3" s="6">
        <v>76</v>
      </c>
      <c r="D3" s="6">
        <v>72</v>
      </c>
      <c r="E3" s="6">
        <v>68</v>
      </c>
      <c r="F3" s="10">
        <v>32</v>
      </c>
    </row>
    <row r="4" spans="1:6" x14ac:dyDescent="0.25">
      <c r="A4" s="19" t="s">
        <v>3</v>
      </c>
      <c r="B4" s="6">
        <v>80</v>
      </c>
      <c r="C4" s="6">
        <v>84</v>
      </c>
      <c r="D4" s="6">
        <v>82</v>
      </c>
      <c r="E4" s="6">
        <v>77</v>
      </c>
      <c r="F4" s="10">
        <v>26</v>
      </c>
    </row>
    <row r="5" spans="1:6" x14ac:dyDescent="0.25">
      <c r="A5" s="19" t="s">
        <v>4</v>
      </c>
      <c r="B5" s="6">
        <v>80</v>
      </c>
      <c r="C5" s="6">
        <v>83</v>
      </c>
      <c r="D5" s="6">
        <v>82</v>
      </c>
      <c r="E5" s="6">
        <v>76</v>
      </c>
      <c r="F5" s="10">
        <v>17</v>
      </c>
    </row>
    <row r="6" spans="1:6" x14ac:dyDescent="0.25">
      <c r="A6" s="9" t="s">
        <v>5</v>
      </c>
      <c r="B6" s="9">
        <v>28</v>
      </c>
      <c r="C6" s="9">
        <v>19</v>
      </c>
      <c r="D6" s="9">
        <v>12</v>
      </c>
      <c r="E6" s="9">
        <v>16</v>
      </c>
      <c r="F6" s="10"/>
    </row>
    <row r="7" spans="1:6" x14ac:dyDescent="0.25">
      <c r="A7" s="20"/>
      <c r="B7" s="21"/>
      <c r="C7" s="21"/>
      <c r="D7" s="21"/>
      <c r="E7" s="21"/>
      <c r="F7" s="22"/>
    </row>
    <row r="8" spans="1:6" x14ac:dyDescent="0.25">
      <c r="A8" s="20"/>
      <c r="B8" s="23"/>
      <c r="C8" s="23"/>
      <c r="D8" s="23"/>
      <c r="E8" s="23"/>
      <c r="F8" s="22"/>
    </row>
    <row r="9" spans="1:6" x14ac:dyDescent="0.25">
      <c r="A9" s="15"/>
      <c r="B9" s="15"/>
      <c r="C9" s="15"/>
      <c r="D9" s="15"/>
      <c r="E9" s="15"/>
      <c r="F9" s="15"/>
    </row>
    <row r="10" spans="1:6" x14ac:dyDescent="0.25">
      <c r="A10" s="1" t="s">
        <v>1</v>
      </c>
      <c r="B10" s="11" t="s">
        <v>0</v>
      </c>
      <c r="C10" s="12"/>
      <c r="D10" s="12"/>
      <c r="E10" s="13"/>
      <c r="F10" s="18" t="s">
        <v>10</v>
      </c>
    </row>
    <row r="11" spans="1:6" ht="29.25" customHeight="1" x14ac:dyDescent="0.25">
      <c r="A11" s="4"/>
      <c r="B11" s="5" t="s">
        <v>6</v>
      </c>
      <c r="C11" s="5" t="s">
        <v>7</v>
      </c>
      <c r="D11" s="5" t="s">
        <v>8</v>
      </c>
      <c r="E11" s="5" t="s">
        <v>9</v>
      </c>
      <c r="F11" s="18"/>
    </row>
    <row r="12" spans="1:6" x14ac:dyDescent="0.25">
      <c r="A12" s="19" t="s">
        <v>2</v>
      </c>
      <c r="B12" s="9">
        <v>20</v>
      </c>
      <c r="C12" s="9">
        <v>0</v>
      </c>
      <c r="D12" s="9">
        <v>12</v>
      </c>
      <c r="E12" s="9">
        <v>0</v>
      </c>
      <c r="F12" s="9">
        <f>SUM(B12:E12)</f>
        <v>32</v>
      </c>
    </row>
    <row r="13" spans="1:6" x14ac:dyDescent="0.25">
      <c r="A13" s="19" t="s">
        <v>3</v>
      </c>
      <c r="B13" s="9">
        <v>8</v>
      </c>
      <c r="C13" s="9">
        <v>2</v>
      </c>
      <c r="D13" s="9">
        <v>0</v>
      </c>
      <c r="E13" s="9">
        <v>16</v>
      </c>
      <c r="F13" s="9">
        <f t="shared" ref="F13:F14" si="0">SUM(B13:E13)</f>
        <v>26</v>
      </c>
    </row>
    <row r="14" spans="1:6" x14ac:dyDescent="0.25">
      <c r="A14" s="19" t="s">
        <v>4</v>
      </c>
      <c r="B14" s="9">
        <v>0</v>
      </c>
      <c r="C14" s="9">
        <v>17</v>
      </c>
      <c r="D14" s="9">
        <v>0</v>
      </c>
      <c r="E14" s="9">
        <v>0</v>
      </c>
      <c r="F14" s="9">
        <f>SUM(B14:E14)</f>
        <v>17</v>
      </c>
    </row>
    <row r="15" spans="1:6" x14ac:dyDescent="0.25">
      <c r="A15" s="9" t="s">
        <v>5</v>
      </c>
      <c r="B15" s="9">
        <f>SUM(B12:B14)</f>
        <v>28</v>
      </c>
      <c r="C15" s="9">
        <f>SUM(C12:C14)</f>
        <v>19</v>
      </c>
      <c r="D15" s="9">
        <f>SUM(D12:D14)</f>
        <v>12</v>
      </c>
      <c r="E15" s="9">
        <f>SUM(E12:E14)</f>
        <v>16</v>
      </c>
      <c r="F15" s="9">
        <v>0</v>
      </c>
    </row>
    <row r="17" spans="1:2" x14ac:dyDescent="0.25">
      <c r="A17" s="24" t="s">
        <v>11</v>
      </c>
      <c r="B17">
        <f>SUMPRODUCT(B3:E5,B12:E14)</f>
        <v>5715</v>
      </c>
    </row>
  </sheetData>
  <mergeCells count="6">
    <mergeCell ref="F10:F11"/>
    <mergeCell ref="B10:E10"/>
    <mergeCell ref="A10:A11"/>
    <mergeCell ref="A1:A2"/>
    <mergeCell ref="B1:E1"/>
    <mergeCell ref="F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A7224-D4B9-4278-B397-7B3E1F827C05}">
  <dimension ref="A1:H17"/>
  <sheetViews>
    <sheetView tabSelected="1" workbookViewId="0">
      <selection activeCell="I8" sqref="I8"/>
    </sheetView>
  </sheetViews>
  <sheetFormatPr defaultRowHeight="15" x14ac:dyDescent="0.25"/>
  <cols>
    <col min="1" max="1" width="16.140625" customWidth="1"/>
  </cols>
  <sheetData>
    <row r="1" spans="1:8" ht="18" x14ac:dyDescent="0.25">
      <c r="A1" s="3" t="s">
        <v>12</v>
      </c>
      <c r="B1" s="3"/>
      <c r="C1" s="3" t="s">
        <v>13</v>
      </c>
      <c r="D1" s="3"/>
      <c r="E1" s="3"/>
      <c r="F1" s="3"/>
    </row>
    <row r="2" spans="1:8" x14ac:dyDescent="0.25">
      <c r="A2" s="3"/>
      <c r="B2" s="3"/>
      <c r="C2" s="19" t="s">
        <v>6</v>
      </c>
      <c r="D2" s="19" t="s">
        <v>7</v>
      </c>
      <c r="E2" s="19" t="s">
        <v>8</v>
      </c>
      <c r="F2" s="19" t="s">
        <v>9</v>
      </c>
    </row>
    <row r="3" spans="1:8" x14ac:dyDescent="0.25">
      <c r="A3" s="3"/>
      <c r="B3" s="3"/>
      <c r="C3" s="26"/>
      <c r="D3" s="26"/>
      <c r="E3" s="26"/>
      <c r="F3" s="19"/>
    </row>
    <row r="4" spans="1:8" x14ac:dyDescent="0.25">
      <c r="A4" s="3" t="s">
        <v>2</v>
      </c>
      <c r="B4" s="1"/>
      <c r="C4" s="14">
        <v>70</v>
      </c>
      <c r="D4" s="14">
        <v>76</v>
      </c>
      <c r="E4" s="14">
        <v>72</v>
      </c>
      <c r="F4" s="25">
        <v>68</v>
      </c>
    </row>
    <row r="5" spans="1:8" x14ac:dyDescent="0.25">
      <c r="A5" s="3"/>
      <c r="B5" s="4"/>
      <c r="C5" s="28" t="s">
        <v>20</v>
      </c>
      <c r="D5" s="27"/>
      <c r="E5" s="27"/>
      <c r="F5" s="29">
        <v>16</v>
      </c>
    </row>
    <row r="6" spans="1:8" x14ac:dyDescent="0.25">
      <c r="A6" s="3" t="s">
        <v>3</v>
      </c>
      <c r="B6" s="1"/>
      <c r="C6" s="14">
        <v>80</v>
      </c>
      <c r="D6" s="14">
        <v>84</v>
      </c>
      <c r="E6" s="14">
        <v>82</v>
      </c>
      <c r="F6" s="25">
        <v>77</v>
      </c>
    </row>
    <row r="7" spans="1:8" x14ac:dyDescent="0.25">
      <c r="A7" s="3"/>
      <c r="B7" s="4"/>
      <c r="C7" s="28">
        <v>12</v>
      </c>
      <c r="D7" s="28">
        <v>2</v>
      </c>
      <c r="E7" s="28">
        <v>12</v>
      </c>
      <c r="F7" s="25"/>
    </row>
    <row r="8" spans="1:8" x14ac:dyDescent="0.25">
      <c r="A8" s="3" t="s">
        <v>4</v>
      </c>
      <c r="B8" s="1"/>
      <c r="C8" s="14">
        <v>80</v>
      </c>
      <c r="D8" s="14">
        <v>83</v>
      </c>
      <c r="E8" s="14">
        <v>82</v>
      </c>
      <c r="F8" s="25">
        <v>76</v>
      </c>
    </row>
    <row r="9" spans="1:8" x14ac:dyDescent="0.25">
      <c r="A9" s="3"/>
      <c r="B9" s="4"/>
      <c r="C9" s="27"/>
      <c r="D9" s="28">
        <v>17</v>
      </c>
      <c r="E9" s="27"/>
      <c r="F9" s="25"/>
    </row>
    <row r="12" spans="1:8" x14ac:dyDescent="0.25">
      <c r="H12" s="30" t="s">
        <v>14</v>
      </c>
    </row>
    <row r="13" spans="1:8" x14ac:dyDescent="0.25">
      <c r="H13" s="30" t="s">
        <v>15</v>
      </c>
    </row>
    <row r="14" spans="1:8" x14ac:dyDescent="0.25">
      <c r="H14" s="30" t="s">
        <v>16</v>
      </c>
    </row>
    <row r="15" spans="1:8" x14ac:dyDescent="0.25">
      <c r="H15" s="30" t="s">
        <v>17</v>
      </c>
    </row>
    <row r="16" spans="1:8" x14ac:dyDescent="0.25">
      <c r="H16" s="30" t="s">
        <v>18</v>
      </c>
    </row>
    <row r="17" spans="8:8" x14ac:dyDescent="0.25">
      <c r="H17" s="30" t="s">
        <v>19</v>
      </c>
    </row>
  </sheetData>
  <mergeCells count="8">
    <mergeCell ref="A6:A7"/>
    <mergeCell ref="A8:A9"/>
    <mergeCell ref="B4:B5"/>
    <mergeCell ref="B6:B7"/>
    <mergeCell ref="B8:B9"/>
    <mergeCell ref="A1:B3"/>
    <mergeCell ref="C1:F1"/>
    <mergeCell ref="A4:A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Мат. модель</vt:lpstr>
      <vt:lpstr>Поиск решения</vt:lpstr>
      <vt:lpstr>Метод потенциалов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2026-02-13T07:03:42Z</dcterms:created>
  <dcterms:modified xsi:type="dcterms:W3CDTF">2026-02-13T08:20:53Z</dcterms:modified>
</cp:coreProperties>
</file>