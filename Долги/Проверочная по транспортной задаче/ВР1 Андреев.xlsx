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Андреев Алексей\ММ\"/>
    </mc:Choice>
  </mc:AlternateContent>
  <xr:revisionPtr revIDLastSave="0" documentId="13_ncr:1_{5787513B-7E8C-4736-B333-D2972251CBE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Мат. модель" sheetId="1" r:id="rId1"/>
    <sheet name="Мин. стоимость" sheetId="4" r:id="rId2"/>
    <sheet name="Метод потенциалов" sheetId="3" r:id="rId3"/>
    <sheet name="Поиск решения" sheetId="2" r:id="rId4"/>
  </sheets>
  <definedNames>
    <definedName name="solver_adj" localSheetId="3" hidden="1">'Поиск решения'!$B$13:$E$16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'Поиск решения'!$B$13:$E$16</definedName>
    <definedName name="solver_lhs2" localSheetId="3" hidden="1">'Поиск решения'!$B$17:$E$17</definedName>
    <definedName name="solver_lhs3" localSheetId="3" hidden="1">'Поиск решения'!$F$13:$F$16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nwt" localSheetId="3" hidden="1">1</definedName>
    <definedName name="solver_opt" localSheetId="3" hidden="1">'Поиск решения'!$B$19</definedName>
    <definedName name="solver_pre" localSheetId="3" hidden="1">0.000001</definedName>
    <definedName name="solver_rbv" localSheetId="3" hidden="1">1</definedName>
    <definedName name="solver_rel1" localSheetId="3" hidden="1">4</definedName>
    <definedName name="solver_rel2" localSheetId="3" hidden="1">2</definedName>
    <definedName name="solver_rel3" localSheetId="3" hidden="1">2</definedName>
    <definedName name="solver_rhs1" localSheetId="3" hidden="1">"целое"</definedName>
    <definedName name="solver_rhs2" localSheetId="3" hidden="1">'Поиск решения'!$B$8:$E$8</definedName>
    <definedName name="solver_rhs3" localSheetId="3" hidden="1">'Поиск решения'!$F$4:$F$7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B13" i="4"/>
  <c r="B19" i="2"/>
  <c r="C17" i="2"/>
  <c r="D17" i="2"/>
  <c r="E17" i="2"/>
  <c r="B17" i="2"/>
  <c r="F14" i="2"/>
  <c r="F15" i="2"/>
  <c r="F16" i="2"/>
  <c r="F13" i="2"/>
  <c r="F12" i="1"/>
  <c r="G11" i="1"/>
</calcChain>
</file>

<file path=xl/sharedStrings.xml><?xml version="1.0" encoding="utf-8"?>
<sst xmlns="http://schemas.openxmlformats.org/spreadsheetml/2006/main" count="74" uniqueCount="26">
  <si>
    <t>Склады</t>
  </si>
  <si>
    <t>Магазины</t>
  </si>
  <si>
    <t>Запасы, тыс. шт.</t>
  </si>
  <si>
    <t>№1</t>
  </si>
  <si>
    <t>№2</t>
  </si>
  <si>
    <t>№3</t>
  </si>
  <si>
    <t>№4</t>
  </si>
  <si>
    <t>Склад №1</t>
  </si>
  <si>
    <t>Склад №2</t>
  </si>
  <si>
    <t>Склад №3</t>
  </si>
  <si>
    <t>Склад №4</t>
  </si>
  <si>
    <t>Заказы, шт.</t>
  </si>
  <si>
    <t>Тарифная ставка</t>
  </si>
  <si>
    <t>Количество грузов</t>
  </si>
  <si>
    <t xml:space="preserve">F(X) = </t>
  </si>
  <si>
    <t>ед.</t>
  </si>
  <si>
    <r>
      <t>Магазины, v</t>
    </r>
    <r>
      <rPr>
        <vertAlign val="subscript"/>
        <sz val="14"/>
        <color theme="1"/>
        <rFont val="Times New Roman"/>
        <family val="1"/>
        <charset val="204"/>
      </rPr>
      <t>j</t>
    </r>
  </si>
  <si>
    <r>
      <t>Склады, u</t>
    </r>
    <r>
      <rPr>
        <vertAlign val="subscript"/>
        <sz val="14"/>
        <color theme="1"/>
        <rFont val="Times New Roman"/>
        <family val="1"/>
        <charset val="204"/>
      </rPr>
      <t>i</t>
    </r>
  </si>
  <si>
    <t>240, 70, 40, к</t>
  </si>
  <si>
    <t>170, к</t>
  </si>
  <si>
    <t>30, к</t>
  </si>
  <si>
    <t>80, к</t>
  </si>
  <si>
    <t>110, 30, к</t>
  </si>
  <si>
    <t>60, к</t>
  </si>
  <si>
    <t>120, 90, к</t>
  </si>
  <si>
    <t>190, 100, 60, 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</si>
</sst>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6"/>
      <color theme="9"/>
      <name val="Times New Roman"/>
      <family val="1"/>
      <charset val="204"/>
    </font>
    <font>
      <sz val="16"/>
      <color theme="8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6" xfId="0" applyFont="1" applyBorder="1"/>
    <xf numFmtId="0" fontId="2" fillId="2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381415</xdr:colOff>
      <xdr:row>14</xdr:row>
      <xdr:rowOff>70402</xdr:rowOff>
    </xdr:from>
    <xdr:to>
      <xdr:col>6</xdr:col>
      <xdr:colOff>443948</xdr:colOff>
      <xdr:row>16</xdr:row>
      <xdr:rowOff>151986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A35E867-67E5-ECF2-A79E-0713B4B7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415" y="3308902"/>
          <a:ext cx="6149008" cy="46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28575</xdr:colOff>
      <xdr:row>1</xdr:row>
      <xdr:rowOff>142875</xdr:rowOff>
    </xdr:from>
    <xdr:to>
      <xdr:col>11</xdr:col>
      <xdr:colOff>561975</xdr:colOff>
      <xdr:row>8</xdr:row>
      <xdr:rowOff>180975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9FD2A24-9CD0-D121-DB8F-328F63692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419100"/>
          <a:ext cx="2362200" cy="1971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2</xdr:row>
      <xdr:rowOff>28575</xdr:rowOff>
    </xdr:from>
    <xdr:to>
      <xdr:col>9</xdr:col>
      <xdr:colOff>104775</xdr:colOff>
      <xdr:row>8</xdr:row>
      <xdr:rowOff>219075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2785941-4BF1-40D5-96DB-C66873D4B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523875"/>
          <a:ext cx="1266825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zoomScaleNormal="100" workbookViewId="0">
      <selection activeCell="J17" sqref="J17"/>
    </sheetView>
  </sheetViews>
  <sheetFormatPr defaultRowHeight="15" x14ac:dyDescent="0.25"/>
  <cols>
    <col min="1" max="1" width="20.7109375" customWidth="1"/>
    <col min="2" max="5" width="13.7109375" customWidth="1"/>
    <col min="6" max="6" width="15.7109375" customWidth="1"/>
    <col min="7" max="7" width="11.42578125" customWidth="1"/>
  </cols>
  <sheetData>
    <row r="1" spans="1:12" ht="21.95" customHeight="1" x14ac:dyDescent="0.3">
      <c r="A1" s="21" t="s">
        <v>0</v>
      </c>
      <c r="B1" s="21" t="s">
        <v>1</v>
      </c>
      <c r="C1" s="21"/>
      <c r="D1" s="21"/>
      <c r="E1" s="21"/>
      <c r="F1" s="22" t="s">
        <v>2</v>
      </c>
      <c r="G1" s="1"/>
    </row>
    <row r="2" spans="1:12" ht="21.95" customHeight="1" x14ac:dyDescent="0.3">
      <c r="A2" s="21"/>
      <c r="B2" s="17" t="s">
        <v>3</v>
      </c>
      <c r="C2" s="17" t="s">
        <v>4</v>
      </c>
      <c r="D2" s="17" t="s">
        <v>5</v>
      </c>
      <c r="E2" s="17" t="s">
        <v>6</v>
      </c>
      <c r="F2" s="22"/>
      <c r="G2" s="1"/>
      <c r="I2" s="23"/>
      <c r="J2" s="23"/>
      <c r="K2" s="23"/>
      <c r="L2" s="23"/>
    </row>
    <row r="3" spans="1:12" ht="21.95" customHeight="1" x14ac:dyDescent="0.3">
      <c r="A3" s="24" t="s">
        <v>7</v>
      </c>
      <c r="B3" s="11">
        <v>2</v>
      </c>
      <c r="C3" s="11">
        <v>6</v>
      </c>
      <c r="D3" s="11">
        <v>4</v>
      </c>
      <c r="E3" s="11">
        <v>3</v>
      </c>
      <c r="F3" s="26">
        <v>120</v>
      </c>
      <c r="G3" s="1"/>
      <c r="I3" s="23"/>
      <c r="J3" s="23"/>
      <c r="K3" s="23"/>
      <c r="L3" s="23"/>
    </row>
    <row r="4" spans="1:12" ht="21.95" customHeight="1" x14ac:dyDescent="0.3">
      <c r="A4" s="25"/>
      <c r="B4" s="4"/>
      <c r="C4" s="4"/>
      <c r="D4" s="4"/>
      <c r="E4" s="4"/>
      <c r="F4" s="27"/>
      <c r="G4" s="1"/>
      <c r="I4" s="23"/>
      <c r="J4" s="23"/>
      <c r="K4" s="23"/>
      <c r="L4" s="23"/>
    </row>
    <row r="5" spans="1:12" ht="21.95" customHeight="1" x14ac:dyDescent="0.3">
      <c r="A5" s="24" t="s">
        <v>8</v>
      </c>
      <c r="B5" s="11">
        <v>5</v>
      </c>
      <c r="C5" s="11">
        <v>1</v>
      </c>
      <c r="D5" s="11">
        <v>9</v>
      </c>
      <c r="E5" s="11">
        <v>2</v>
      </c>
      <c r="F5" s="26">
        <v>240</v>
      </c>
      <c r="G5" s="1"/>
      <c r="I5" s="23"/>
      <c r="J5" s="23"/>
      <c r="K5" s="23"/>
      <c r="L5" s="23"/>
    </row>
    <row r="6" spans="1:12" ht="21.95" customHeight="1" x14ac:dyDescent="0.3">
      <c r="A6" s="25"/>
      <c r="B6" s="4"/>
      <c r="C6" s="4"/>
      <c r="D6" s="4"/>
      <c r="E6" s="4"/>
      <c r="F6" s="27"/>
      <c r="G6" s="1"/>
      <c r="I6" s="23"/>
      <c r="J6" s="23"/>
      <c r="K6" s="23"/>
      <c r="L6" s="23"/>
    </row>
    <row r="7" spans="1:12" ht="21.95" customHeight="1" x14ac:dyDescent="0.3">
      <c r="A7" s="24" t="s">
        <v>9</v>
      </c>
      <c r="B7" s="11">
        <v>3</v>
      </c>
      <c r="C7" s="11">
        <v>2</v>
      </c>
      <c r="D7" s="11">
        <v>2</v>
      </c>
      <c r="E7" s="11">
        <v>6</v>
      </c>
      <c r="F7" s="26">
        <v>80</v>
      </c>
      <c r="G7" s="1"/>
      <c r="I7" s="23"/>
      <c r="J7" s="23"/>
      <c r="K7" s="23"/>
      <c r="L7" s="23"/>
    </row>
    <row r="8" spans="1:12" ht="21.95" customHeight="1" x14ac:dyDescent="0.3">
      <c r="A8" s="25"/>
      <c r="B8" s="4"/>
      <c r="C8" s="4"/>
      <c r="D8" s="4"/>
      <c r="E8" s="4"/>
      <c r="F8" s="27"/>
      <c r="G8" s="1"/>
      <c r="I8" s="23"/>
      <c r="J8" s="23"/>
      <c r="K8" s="23"/>
      <c r="L8" s="23"/>
    </row>
    <row r="9" spans="1:12" ht="21.95" customHeight="1" x14ac:dyDescent="0.3">
      <c r="A9" s="24" t="s">
        <v>10</v>
      </c>
      <c r="B9" s="11">
        <v>4</v>
      </c>
      <c r="C9" s="11">
        <v>5</v>
      </c>
      <c r="D9" s="11">
        <v>10</v>
      </c>
      <c r="E9" s="11">
        <v>3</v>
      </c>
      <c r="F9" s="26">
        <v>60</v>
      </c>
      <c r="G9" s="1"/>
      <c r="I9" s="23"/>
      <c r="J9" s="23"/>
      <c r="K9" s="23"/>
      <c r="L9" s="23"/>
    </row>
    <row r="10" spans="1:12" ht="21.95" customHeight="1" x14ac:dyDescent="0.3">
      <c r="A10" s="25"/>
      <c r="B10" s="4"/>
      <c r="C10" s="4"/>
      <c r="D10" s="4"/>
      <c r="E10" s="4"/>
      <c r="F10" s="27"/>
      <c r="G10" s="1"/>
    </row>
    <row r="11" spans="1:12" ht="21.95" customHeight="1" x14ac:dyDescent="0.3">
      <c r="A11" s="15" t="s">
        <v>11</v>
      </c>
      <c r="B11" s="2">
        <v>190</v>
      </c>
      <c r="C11" s="2">
        <v>170</v>
      </c>
      <c r="D11" s="2">
        <v>110</v>
      </c>
      <c r="E11" s="2">
        <v>30</v>
      </c>
      <c r="F11" s="18"/>
      <c r="G11" s="19">
        <f>SUM(B11:E11)</f>
        <v>500</v>
      </c>
    </row>
    <row r="12" spans="1:12" ht="21.95" customHeight="1" x14ac:dyDescent="0.3">
      <c r="A12" s="1"/>
      <c r="B12" s="1"/>
      <c r="C12" s="1"/>
      <c r="D12" s="1"/>
      <c r="E12" s="1"/>
      <c r="F12" s="19">
        <f>SUM(F3:F9)</f>
        <v>500</v>
      </c>
      <c r="G12" s="1"/>
    </row>
    <row r="15" spans="1:12" x14ac:dyDescent="0.25">
      <c r="A15" s="23"/>
      <c r="B15" s="23"/>
      <c r="C15" s="23"/>
      <c r="D15" s="23"/>
      <c r="E15" s="23"/>
      <c r="F15" s="23"/>
      <c r="G15" s="23"/>
    </row>
    <row r="16" spans="1:12" x14ac:dyDescent="0.25">
      <c r="A16" s="23"/>
      <c r="B16" s="23"/>
      <c r="C16" s="23"/>
      <c r="D16" s="23"/>
      <c r="E16" s="23"/>
      <c r="F16" s="23"/>
      <c r="G16" s="23"/>
    </row>
    <row r="17" spans="1:7" x14ac:dyDescent="0.25">
      <c r="A17" s="23"/>
      <c r="B17" s="23"/>
      <c r="C17" s="23"/>
      <c r="D17" s="23"/>
      <c r="E17" s="23"/>
      <c r="F17" s="23"/>
      <c r="G17" s="23"/>
    </row>
  </sheetData>
  <mergeCells count="13">
    <mergeCell ref="B1:E1"/>
    <mergeCell ref="A1:A2"/>
    <mergeCell ref="F1:F2"/>
    <mergeCell ref="A3:A4"/>
    <mergeCell ref="A5:A6"/>
    <mergeCell ref="A15:G17"/>
    <mergeCell ref="I2:L9"/>
    <mergeCell ref="A9:A10"/>
    <mergeCell ref="F9:F10"/>
    <mergeCell ref="F7:F8"/>
    <mergeCell ref="F5:F6"/>
    <mergeCell ref="F3:F4"/>
    <mergeCell ref="A7:A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F233-FE91-4DDE-8156-E488A5D61FF8}">
  <dimension ref="A1:F13"/>
  <sheetViews>
    <sheetView workbookViewId="0">
      <selection activeCell="C11" sqref="C11"/>
    </sheetView>
  </sheetViews>
  <sheetFormatPr defaultRowHeight="18.75" x14ac:dyDescent="0.3"/>
  <cols>
    <col min="1" max="1" width="20.7109375" style="1" customWidth="1"/>
    <col min="2" max="6" width="18.7109375" style="1" customWidth="1"/>
    <col min="7" max="16384" width="9.140625" style="1"/>
  </cols>
  <sheetData>
    <row r="1" spans="1:6" ht="21.95" customHeight="1" x14ac:dyDescent="0.3">
      <c r="A1" s="21" t="s">
        <v>0</v>
      </c>
      <c r="B1" s="21" t="s">
        <v>1</v>
      </c>
      <c r="C1" s="21"/>
      <c r="D1" s="21"/>
      <c r="E1" s="21"/>
      <c r="F1" s="22" t="s">
        <v>2</v>
      </c>
    </row>
    <row r="2" spans="1:6" ht="21.95" customHeight="1" x14ac:dyDescent="0.3">
      <c r="A2" s="21"/>
      <c r="B2" s="17" t="s">
        <v>3</v>
      </c>
      <c r="C2" s="17" t="s">
        <v>4</v>
      </c>
      <c r="D2" s="17" t="s">
        <v>5</v>
      </c>
      <c r="E2" s="17" t="s">
        <v>6</v>
      </c>
      <c r="F2" s="22"/>
    </row>
    <row r="3" spans="1:6" ht="21.95" customHeight="1" x14ac:dyDescent="0.3">
      <c r="A3" s="24" t="s">
        <v>7</v>
      </c>
      <c r="B3" s="11">
        <v>2</v>
      </c>
      <c r="C3" s="11">
        <v>6</v>
      </c>
      <c r="D3" s="11">
        <v>4</v>
      </c>
      <c r="E3" s="11">
        <v>3</v>
      </c>
      <c r="F3" s="26" t="s">
        <v>24</v>
      </c>
    </row>
    <row r="4" spans="1:6" ht="21.95" customHeight="1" x14ac:dyDescent="0.3">
      <c r="A4" s="25"/>
      <c r="B4" s="12">
        <v>90</v>
      </c>
      <c r="C4" s="12"/>
      <c r="D4" s="12">
        <v>30</v>
      </c>
      <c r="E4" s="12"/>
      <c r="F4" s="27"/>
    </row>
    <row r="5" spans="1:6" ht="21.95" customHeight="1" x14ac:dyDescent="0.3">
      <c r="A5" s="24" t="s">
        <v>8</v>
      </c>
      <c r="B5" s="11">
        <v>5</v>
      </c>
      <c r="C5" s="11">
        <v>1</v>
      </c>
      <c r="D5" s="11">
        <v>9</v>
      </c>
      <c r="E5" s="11">
        <v>2</v>
      </c>
      <c r="F5" s="26" t="s">
        <v>18</v>
      </c>
    </row>
    <row r="6" spans="1:6" ht="21.95" customHeight="1" x14ac:dyDescent="0.3">
      <c r="A6" s="25"/>
      <c r="B6" s="12">
        <v>40</v>
      </c>
      <c r="C6" s="12">
        <v>170</v>
      </c>
      <c r="D6" s="12"/>
      <c r="E6" s="12">
        <v>30</v>
      </c>
      <c r="F6" s="27"/>
    </row>
    <row r="7" spans="1:6" ht="21.95" customHeight="1" x14ac:dyDescent="0.3">
      <c r="A7" s="24" t="s">
        <v>9</v>
      </c>
      <c r="B7" s="11">
        <v>3</v>
      </c>
      <c r="C7" s="11">
        <v>2</v>
      </c>
      <c r="D7" s="11">
        <v>2</v>
      </c>
      <c r="E7" s="11">
        <v>6</v>
      </c>
      <c r="F7" s="26" t="s">
        <v>21</v>
      </c>
    </row>
    <row r="8" spans="1:6" ht="21.95" customHeight="1" x14ac:dyDescent="0.3">
      <c r="A8" s="25"/>
      <c r="B8" s="12"/>
      <c r="C8" s="12"/>
      <c r="D8" s="12">
        <v>80</v>
      </c>
      <c r="E8" s="12"/>
      <c r="F8" s="27"/>
    </row>
    <row r="9" spans="1:6" ht="21.95" customHeight="1" x14ac:dyDescent="0.3">
      <c r="A9" s="24" t="s">
        <v>10</v>
      </c>
      <c r="B9" s="11">
        <v>4</v>
      </c>
      <c r="C9" s="11">
        <v>5</v>
      </c>
      <c r="D9" s="11">
        <v>10</v>
      </c>
      <c r="E9" s="11">
        <v>3</v>
      </c>
      <c r="F9" s="26" t="s">
        <v>23</v>
      </c>
    </row>
    <row r="10" spans="1:6" ht="21.95" customHeight="1" x14ac:dyDescent="0.3">
      <c r="A10" s="25"/>
      <c r="B10" s="12">
        <v>60</v>
      </c>
      <c r="C10" s="12"/>
      <c r="D10" s="12"/>
      <c r="E10" s="12"/>
      <c r="F10" s="27"/>
    </row>
    <row r="11" spans="1:6" ht="21.95" customHeight="1" x14ac:dyDescent="0.3">
      <c r="A11" s="15" t="s">
        <v>11</v>
      </c>
      <c r="B11" s="2" t="s">
        <v>25</v>
      </c>
      <c r="C11" s="2" t="s">
        <v>19</v>
      </c>
      <c r="D11" s="2" t="s">
        <v>22</v>
      </c>
      <c r="E11" s="2" t="s">
        <v>20</v>
      </c>
      <c r="F11" s="5"/>
    </row>
    <row r="13" spans="1:6" ht="21.95" customHeight="1" x14ac:dyDescent="0.3">
      <c r="A13" s="6" t="s">
        <v>14</v>
      </c>
      <c r="B13" s="7">
        <f>B3*B4+D3*D4+B5*B6+C5*C6+E5*E6+D7*D8+B9*B10</f>
        <v>1130</v>
      </c>
      <c r="C13" s="8" t="s">
        <v>15</v>
      </c>
    </row>
  </sheetData>
  <mergeCells count="11">
    <mergeCell ref="A1:A2"/>
    <mergeCell ref="B1:E1"/>
    <mergeCell ref="F1:F2"/>
    <mergeCell ref="A3:A4"/>
    <mergeCell ref="A5:A6"/>
    <mergeCell ref="A9:A10"/>
    <mergeCell ref="F3:F4"/>
    <mergeCell ref="F5:F6"/>
    <mergeCell ref="F7:F8"/>
    <mergeCell ref="F9:F10"/>
    <mergeCell ref="A7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D604-621E-48E6-A1DB-FEE9AB6E7588}">
  <dimension ref="A1:G16"/>
  <sheetViews>
    <sheetView workbookViewId="0">
      <selection activeCell="H15" sqref="H15"/>
    </sheetView>
  </sheetViews>
  <sheetFormatPr defaultRowHeight="15" x14ac:dyDescent="0.25"/>
  <cols>
    <col min="1" max="6" width="15.7109375" customWidth="1"/>
    <col min="7" max="7" width="12.85546875" customWidth="1"/>
  </cols>
  <sheetData>
    <row r="1" spans="1:7" ht="20.100000000000001" customHeight="1" x14ac:dyDescent="0.25">
      <c r="A1" s="28" t="s">
        <v>17</v>
      </c>
      <c r="B1" s="29"/>
      <c r="C1" s="21" t="s">
        <v>16</v>
      </c>
      <c r="D1" s="21"/>
      <c r="E1" s="21"/>
      <c r="F1" s="21"/>
      <c r="G1" s="13"/>
    </row>
    <row r="2" spans="1:7" ht="20.100000000000001" customHeight="1" x14ac:dyDescent="0.25">
      <c r="A2" s="30"/>
      <c r="B2" s="31"/>
      <c r="C2" s="17" t="s">
        <v>3</v>
      </c>
      <c r="D2" s="17" t="s">
        <v>4</v>
      </c>
      <c r="E2" s="17" t="s">
        <v>5</v>
      </c>
      <c r="F2" s="17" t="s">
        <v>6</v>
      </c>
      <c r="G2" s="13"/>
    </row>
    <row r="3" spans="1:7" ht="20.100000000000001" customHeight="1" x14ac:dyDescent="0.25">
      <c r="A3" s="32"/>
      <c r="B3" s="33"/>
      <c r="C3" s="14">
        <v>2</v>
      </c>
      <c r="D3" s="14">
        <v>-2</v>
      </c>
      <c r="E3" s="14">
        <v>4</v>
      </c>
      <c r="F3" s="14">
        <v>-1</v>
      </c>
      <c r="G3" s="10"/>
    </row>
    <row r="4" spans="1:7" ht="20.100000000000001" customHeight="1" x14ac:dyDescent="0.25">
      <c r="A4" s="36" t="s">
        <v>7</v>
      </c>
      <c r="B4" s="34">
        <v>0</v>
      </c>
      <c r="C4" s="11">
        <v>2</v>
      </c>
      <c r="D4" s="11">
        <v>6</v>
      </c>
      <c r="E4" s="11">
        <v>4</v>
      </c>
      <c r="F4" s="11">
        <v>3</v>
      </c>
      <c r="G4" s="9"/>
    </row>
    <row r="5" spans="1:7" ht="20.100000000000001" customHeight="1" x14ac:dyDescent="0.25">
      <c r="A5" s="36"/>
      <c r="B5" s="35"/>
      <c r="C5" s="12">
        <v>90</v>
      </c>
      <c r="D5" s="12"/>
      <c r="E5" s="12">
        <v>30</v>
      </c>
      <c r="F5" s="12"/>
      <c r="G5" s="9"/>
    </row>
    <row r="6" spans="1:7" ht="20.100000000000001" customHeight="1" x14ac:dyDescent="0.25">
      <c r="A6" s="36" t="s">
        <v>8</v>
      </c>
      <c r="B6" s="34">
        <v>3</v>
      </c>
      <c r="C6" s="11">
        <v>5</v>
      </c>
      <c r="D6" s="11">
        <v>1</v>
      </c>
      <c r="E6" s="11">
        <v>9</v>
      </c>
      <c r="F6" s="11">
        <v>2</v>
      </c>
      <c r="G6" s="9"/>
    </row>
    <row r="7" spans="1:7" ht="20.100000000000001" customHeight="1" x14ac:dyDescent="0.25">
      <c r="A7" s="36"/>
      <c r="B7" s="35"/>
      <c r="C7" s="12">
        <v>40</v>
      </c>
      <c r="D7" s="12">
        <v>170</v>
      </c>
      <c r="E7" s="12"/>
      <c r="F7" s="12">
        <v>30</v>
      </c>
      <c r="G7" s="9"/>
    </row>
    <row r="8" spans="1:7" ht="20.100000000000001" customHeight="1" x14ac:dyDescent="0.25">
      <c r="A8" s="24" t="s">
        <v>9</v>
      </c>
      <c r="B8" s="34">
        <v>-2</v>
      </c>
      <c r="C8" s="11">
        <v>3</v>
      </c>
      <c r="D8" s="11">
        <v>2</v>
      </c>
      <c r="E8" s="11">
        <v>2</v>
      </c>
      <c r="F8" s="11">
        <v>6</v>
      </c>
      <c r="G8" s="9"/>
    </row>
    <row r="9" spans="1:7" ht="20.100000000000001" customHeight="1" x14ac:dyDescent="0.25">
      <c r="A9" s="25"/>
      <c r="B9" s="35"/>
      <c r="C9" s="12"/>
      <c r="D9" s="12"/>
      <c r="E9" s="12">
        <v>80</v>
      </c>
      <c r="F9" s="12"/>
      <c r="G9" s="9"/>
    </row>
    <row r="10" spans="1:7" ht="20.100000000000001" customHeight="1" x14ac:dyDescent="0.25">
      <c r="A10" s="24" t="s">
        <v>10</v>
      </c>
      <c r="B10" s="34">
        <v>2</v>
      </c>
      <c r="C10" s="11">
        <v>4</v>
      </c>
      <c r="D10" s="11">
        <v>5</v>
      </c>
      <c r="E10" s="11">
        <v>10</v>
      </c>
      <c r="F10" s="11">
        <v>3</v>
      </c>
      <c r="G10" s="9"/>
    </row>
    <row r="11" spans="1:7" ht="20.100000000000001" customHeight="1" x14ac:dyDescent="0.25">
      <c r="A11" s="25"/>
      <c r="B11" s="35"/>
      <c r="C11" s="12">
        <v>60</v>
      </c>
      <c r="D11" s="12"/>
      <c r="E11" s="12"/>
      <c r="F11" s="12"/>
      <c r="G11" s="9"/>
    </row>
    <row r="12" spans="1:7" ht="18.75" x14ac:dyDescent="0.3">
      <c r="A12" s="1"/>
      <c r="B12" s="1"/>
      <c r="C12" s="1"/>
      <c r="D12" s="9"/>
      <c r="E12" s="9"/>
      <c r="F12" s="9"/>
      <c r="G12" s="1"/>
    </row>
    <row r="13" spans="1:7" ht="20.100000000000001" customHeight="1" x14ac:dyDescent="0.3">
      <c r="A13" s="6" t="s">
        <v>14</v>
      </c>
      <c r="B13" s="7">
        <f>C4*C5+E4*E5+C6*C7+D6*D7+F6*F7+E8*E9+C10*C11</f>
        <v>1130</v>
      </c>
      <c r="C13" s="8" t="s">
        <v>15</v>
      </c>
      <c r="D13" s="1"/>
      <c r="E13" s="1"/>
      <c r="F13" s="1"/>
    </row>
    <row r="14" spans="1:7" ht="18.75" x14ac:dyDescent="0.3">
      <c r="A14" s="1"/>
      <c r="B14" s="1"/>
      <c r="C14" s="1"/>
      <c r="D14" s="1"/>
      <c r="E14" s="1"/>
      <c r="F14" s="1"/>
    </row>
    <row r="15" spans="1:7" ht="18.75" x14ac:dyDescent="0.3">
      <c r="A15" s="1"/>
      <c r="B15" s="1"/>
      <c r="C15" s="1"/>
      <c r="D15" s="1"/>
      <c r="E15" s="1"/>
      <c r="F15" s="1"/>
    </row>
    <row r="16" spans="1:7" ht="18.75" x14ac:dyDescent="0.3">
      <c r="A16" s="1"/>
      <c r="B16" s="1"/>
      <c r="C16" s="1"/>
      <c r="D16" s="1"/>
      <c r="E16" s="1"/>
      <c r="F16" s="1"/>
    </row>
  </sheetData>
  <mergeCells count="10">
    <mergeCell ref="C1:F1"/>
    <mergeCell ref="A4:A5"/>
    <mergeCell ref="A6:A7"/>
    <mergeCell ref="A8:A9"/>
    <mergeCell ref="A10:A11"/>
    <mergeCell ref="A1:B3"/>
    <mergeCell ref="B4:B5"/>
    <mergeCell ref="B6:B7"/>
    <mergeCell ref="B8:B9"/>
    <mergeCell ref="B10:B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92C1-F8F6-4909-9458-9B241176DE90}">
  <dimension ref="A1:F19"/>
  <sheetViews>
    <sheetView tabSelected="1" workbookViewId="0">
      <selection activeCell="F23" sqref="F23"/>
    </sheetView>
  </sheetViews>
  <sheetFormatPr defaultRowHeight="15" x14ac:dyDescent="0.25"/>
  <cols>
    <col min="1" max="1" width="18.7109375" customWidth="1"/>
    <col min="2" max="5" width="13.7109375" customWidth="1"/>
    <col min="6" max="6" width="18.7109375" customWidth="1"/>
  </cols>
  <sheetData>
    <row r="1" spans="1:6" ht="21.95" customHeight="1" x14ac:dyDescent="0.25">
      <c r="A1" s="20" t="s">
        <v>12</v>
      </c>
      <c r="B1" s="20"/>
      <c r="C1" s="20"/>
      <c r="D1" s="20"/>
      <c r="E1" s="20"/>
      <c r="F1" s="20"/>
    </row>
    <row r="2" spans="1:6" ht="20.100000000000001" customHeight="1" x14ac:dyDescent="0.25">
      <c r="A2" s="21" t="s">
        <v>0</v>
      </c>
      <c r="B2" s="21" t="s">
        <v>1</v>
      </c>
      <c r="C2" s="21"/>
      <c r="D2" s="21"/>
      <c r="E2" s="21"/>
      <c r="F2" s="22" t="s">
        <v>2</v>
      </c>
    </row>
    <row r="3" spans="1:6" ht="20.100000000000001" customHeight="1" x14ac:dyDescent="0.25">
      <c r="A3" s="21"/>
      <c r="B3" s="17" t="s">
        <v>3</v>
      </c>
      <c r="C3" s="17" t="s">
        <v>4</v>
      </c>
      <c r="D3" s="17" t="s">
        <v>5</v>
      </c>
      <c r="E3" s="17" t="s">
        <v>6</v>
      </c>
      <c r="F3" s="22"/>
    </row>
    <row r="4" spans="1:6" ht="20.100000000000001" customHeight="1" x14ac:dyDescent="0.25">
      <c r="A4" s="16" t="s">
        <v>7</v>
      </c>
      <c r="B4" s="3">
        <v>2</v>
      </c>
      <c r="C4" s="3">
        <v>6</v>
      </c>
      <c r="D4" s="3">
        <v>4</v>
      </c>
      <c r="E4" s="3">
        <v>3</v>
      </c>
      <c r="F4" s="3">
        <v>120</v>
      </c>
    </row>
    <row r="5" spans="1:6" ht="20.100000000000001" customHeight="1" x14ac:dyDescent="0.25">
      <c r="A5" s="16" t="s">
        <v>8</v>
      </c>
      <c r="B5" s="3">
        <v>5</v>
      </c>
      <c r="C5" s="3">
        <v>1</v>
      </c>
      <c r="D5" s="3">
        <v>9</v>
      </c>
      <c r="E5" s="3">
        <v>2</v>
      </c>
      <c r="F5" s="3">
        <v>240</v>
      </c>
    </row>
    <row r="6" spans="1:6" ht="20.100000000000001" customHeight="1" x14ac:dyDescent="0.25">
      <c r="A6" s="16" t="s">
        <v>9</v>
      </c>
      <c r="B6" s="3">
        <v>3</v>
      </c>
      <c r="C6" s="3">
        <v>2</v>
      </c>
      <c r="D6" s="3">
        <v>2</v>
      </c>
      <c r="E6" s="3">
        <v>6</v>
      </c>
      <c r="F6" s="3">
        <v>80</v>
      </c>
    </row>
    <row r="7" spans="1:6" ht="20.100000000000001" customHeight="1" x14ac:dyDescent="0.25">
      <c r="A7" s="16" t="s">
        <v>10</v>
      </c>
      <c r="B7" s="3">
        <v>4</v>
      </c>
      <c r="C7" s="3">
        <v>5</v>
      </c>
      <c r="D7" s="3">
        <v>10</v>
      </c>
      <c r="E7" s="3">
        <v>3</v>
      </c>
      <c r="F7" s="3">
        <v>60</v>
      </c>
    </row>
    <row r="8" spans="1:6" ht="20.100000000000001" customHeight="1" x14ac:dyDescent="0.3">
      <c r="A8" s="15" t="s">
        <v>11</v>
      </c>
      <c r="B8" s="2">
        <v>190</v>
      </c>
      <c r="C8" s="2">
        <v>170</v>
      </c>
      <c r="D8" s="2">
        <v>110</v>
      </c>
      <c r="E8" s="2">
        <v>30</v>
      </c>
      <c r="F8" s="5"/>
    </row>
    <row r="10" spans="1:6" ht="21.95" customHeight="1" x14ac:dyDescent="0.25">
      <c r="A10" s="20" t="s">
        <v>13</v>
      </c>
      <c r="B10" s="20"/>
      <c r="C10" s="20"/>
      <c r="D10" s="20"/>
      <c r="E10" s="20"/>
      <c r="F10" s="20"/>
    </row>
    <row r="11" spans="1:6" ht="20.100000000000001" customHeight="1" x14ac:dyDescent="0.25">
      <c r="A11" s="21" t="s">
        <v>0</v>
      </c>
      <c r="B11" s="21" t="s">
        <v>1</v>
      </c>
      <c r="C11" s="21"/>
      <c r="D11" s="21"/>
      <c r="E11" s="21"/>
      <c r="F11" s="22" t="s">
        <v>2</v>
      </c>
    </row>
    <row r="12" spans="1:6" ht="20.100000000000001" customHeight="1" x14ac:dyDescent="0.25">
      <c r="A12" s="21"/>
      <c r="B12" s="17" t="s">
        <v>3</v>
      </c>
      <c r="C12" s="17" t="s">
        <v>4</v>
      </c>
      <c r="D12" s="17" t="s">
        <v>5</v>
      </c>
      <c r="E12" s="17" t="s">
        <v>6</v>
      </c>
      <c r="F12" s="22"/>
    </row>
    <row r="13" spans="1:6" ht="20.100000000000001" customHeight="1" x14ac:dyDescent="0.25">
      <c r="A13" s="16" t="s">
        <v>7</v>
      </c>
      <c r="B13" s="3">
        <v>90</v>
      </c>
      <c r="C13" s="3">
        <v>0</v>
      </c>
      <c r="D13" s="3">
        <v>30</v>
      </c>
      <c r="E13" s="3">
        <v>0</v>
      </c>
      <c r="F13" s="3">
        <f>SUM(B13:E13)</f>
        <v>120</v>
      </c>
    </row>
    <row r="14" spans="1:6" ht="20.100000000000001" customHeight="1" x14ac:dyDescent="0.25">
      <c r="A14" s="16" t="s">
        <v>8</v>
      </c>
      <c r="B14" s="3">
        <v>40</v>
      </c>
      <c r="C14" s="3">
        <v>170</v>
      </c>
      <c r="D14" s="3">
        <v>0</v>
      </c>
      <c r="E14" s="3">
        <v>30</v>
      </c>
      <c r="F14" s="3">
        <f t="shared" ref="F14:F16" si="0">SUM(B14:E14)</f>
        <v>240</v>
      </c>
    </row>
    <row r="15" spans="1:6" ht="20.100000000000001" customHeight="1" x14ac:dyDescent="0.25">
      <c r="A15" s="16" t="s">
        <v>9</v>
      </c>
      <c r="B15" s="3">
        <v>0</v>
      </c>
      <c r="C15" s="3">
        <v>0</v>
      </c>
      <c r="D15" s="3">
        <v>80</v>
      </c>
      <c r="E15" s="3">
        <v>0</v>
      </c>
      <c r="F15" s="3">
        <f t="shared" si="0"/>
        <v>80</v>
      </c>
    </row>
    <row r="16" spans="1:6" ht="20.100000000000001" customHeight="1" x14ac:dyDescent="0.25">
      <c r="A16" s="16" t="s">
        <v>10</v>
      </c>
      <c r="B16" s="3">
        <v>60</v>
      </c>
      <c r="C16" s="3">
        <v>0</v>
      </c>
      <c r="D16" s="3">
        <v>0</v>
      </c>
      <c r="E16" s="3">
        <v>0</v>
      </c>
      <c r="F16" s="3">
        <f t="shared" si="0"/>
        <v>60</v>
      </c>
    </row>
    <row r="17" spans="1:6" ht="20.100000000000001" customHeight="1" x14ac:dyDescent="0.3">
      <c r="A17" s="15" t="s">
        <v>11</v>
      </c>
      <c r="B17" s="2">
        <f>SUM(B13:B16)</f>
        <v>190</v>
      </c>
      <c r="C17" s="2">
        <f t="shared" ref="C17:E17" si="1">SUM(C13:C16)</f>
        <v>170</v>
      </c>
      <c r="D17" s="2">
        <f t="shared" si="1"/>
        <v>110</v>
      </c>
      <c r="E17" s="2">
        <f t="shared" si="1"/>
        <v>30</v>
      </c>
      <c r="F17" s="5"/>
    </row>
    <row r="19" spans="1:6" ht="18.75" x14ac:dyDescent="0.25">
      <c r="A19" s="6" t="s">
        <v>14</v>
      </c>
      <c r="B19" s="7">
        <f>SUMPRODUCT(B4:E7,B13:E16)</f>
        <v>1130</v>
      </c>
      <c r="C19" s="8" t="s">
        <v>15</v>
      </c>
    </row>
  </sheetData>
  <mergeCells count="8">
    <mergeCell ref="A1:F1"/>
    <mergeCell ref="A10:F10"/>
    <mergeCell ref="A11:A12"/>
    <mergeCell ref="B11:E11"/>
    <mergeCell ref="F11:F12"/>
    <mergeCell ref="A2:A3"/>
    <mergeCell ref="B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Мат. модель</vt:lpstr>
      <vt:lpstr>Мин. стоимость</vt:lpstr>
      <vt:lpstr>Метод потенциалов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2026-02-13T08:04:07Z</dcterms:modified>
</cp:coreProperties>
</file>