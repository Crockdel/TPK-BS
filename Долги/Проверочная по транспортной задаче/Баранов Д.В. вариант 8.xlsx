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транспортной задаче\"/>
    </mc:Choice>
  </mc:AlternateContent>
  <xr:revisionPtr revIDLastSave="0" documentId="13_ncr:1_{5B7892DD-D558-4860-AAF4-3653F682D4B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поиск решения" sheetId="1" r:id="rId1"/>
    <sheet name="мат модель" sheetId="2" r:id="rId2"/>
    <sheet name="потенциалов" sheetId="3" r:id="rId3"/>
  </sheets>
  <definedNames>
    <definedName name="solver_adj" localSheetId="0" hidden="1">'поиск решения'!$B$20:$E$22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'поиск решения'!$B$20:$E$22</definedName>
    <definedName name="solver_lhs2" localSheetId="0" hidden="1">'поиск решения'!$B$23:$E$23</definedName>
    <definedName name="solver_lhs3" localSheetId="0" hidden="1">'поиск решения'!$F$20:$F$22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'поиск решения'!$B$16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'поиск решения'!$B$6:$E$6</definedName>
    <definedName name="solver_rhs3" localSheetId="0" hidden="1">'поиск решения'!$F$3:$F$5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3" l="1"/>
  <c r="B16" i="1"/>
  <c r="F21" i="1"/>
  <c r="F22" i="1"/>
  <c r="F20" i="1"/>
  <c r="C23" i="1"/>
  <c r="D23" i="1"/>
  <c r="E23" i="1"/>
  <c r="B23" i="1"/>
  <c r="F7" i="2"/>
  <c r="G6" i="2"/>
</calcChain>
</file>

<file path=xl/sharedStrings.xml><?xml version="1.0" encoding="utf-8"?>
<sst xmlns="http://schemas.openxmlformats.org/spreadsheetml/2006/main" count="65" uniqueCount="14">
  <si>
    <t>Шахты</t>
  </si>
  <si>
    <t>Потребители</t>
  </si>
  <si>
    <t>A</t>
  </si>
  <si>
    <t>B</t>
  </si>
  <si>
    <t>C</t>
  </si>
  <si>
    <t>D</t>
  </si>
  <si>
    <t>Добыча угля, тыс. т. В неделю</t>
  </si>
  <si>
    <t>Западная</t>
  </si>
  <si>
    <t>Варгашорская</t>
  </si>
  <si>
    <t>Комсомольская</t>
  </si>
  <si>
    <t>Заявки, тыс.т</t>
  </si>
  <si>
    <t>F(X)=</t>
  </si>
  <si>
    <r>
      <t>Поставщики, u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</si>
  <si>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Потребители, v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</si>
</sst>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7</xdr:row>
      <xdr:rowOff>9525</xdr:rowOff>
    </xdr:from>
    <xdr:to>
      <xdr:col>3</xdr:col>
      <xdr:colOff>409575</xdr:colOff>
      <xdr:row>17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20FA741-7921-EF24-31F1-1F54BB6E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43025"/>
          <a:ext cx="2143125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552450</xdr:colOff>
      <xdr:row>18</xdr:row>
      <xdr:rowOff>28575</xdr:rowOff>
    </xdr:from>
    <xdr:to>
      <xdr:col>7</xdr:col>
      <xdr:colOff>581025</xdr:colOff>
      <xdr:row>20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B25702C-7188-7223-001F-486DF160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457575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15</xdr:row>
      <xdr:rowOff>47625</xdr:rowOff>
    </xdr:from>
    <xdr:to>
      <xdr:col>11</xdr:col>
      <xdr:colOff>581025</xdr:colOff>
      <xdr:row>20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E00CC696-8532-4109-AAF1-01504E8911AB}"/>
            </a:ext>
          </a:extLst>
        </xdr:cNvPr>
        <xdr:cNvSpPr/>
      </xdr:nvSpPr>
      <xdr:spPr>
        <a:xfrm>
          <a:off x="7153275" y="2905125"/>
          <a:ext cx="666750" cy="952500"/>
        </a:xfrm>
        <a:prstGeom prst="rect">
          <a:avLst/>
        </a:prstGeom>
        <a:noFill/>
        <a:ln>
          <a:solidFill>
            <a:srgbClr val="0070C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F1" sqref="F1:F6"/>
    </sheetView>
  </sheetViews>
  <sheetFormatPr defaultRowHeight="15" x14ac:dyDescent="0.25"/>
  <cols>
    <col min="1" max="1" width="15.7109375" customWidth="1"/>
    <col min="6" max="6" width="28.28515625" customWidth="1"/>
  </cols>
  <sheetData>
    <row r="1" spans="1:6" x14ac:dyDescent="0.25">
      <c r="A1" s="12" t="s">
        <v>0</v>
      </c>
      <c r="B1" s="12" t="s">
        <v>1</v>
      </c>
      <c r="C1" s="12"/>
      <c r="D1" s="12"/>
      <c r="E1" s="12"/>
      <c r="F1" s="12" t="s">
        <v>6</v>
      </c>
    </row>
    <row r="2" spans="1:6" x14ac:dyDescent="0.25">
      <c r="A2" s="12"/>
      <c r="B2" s="1" t="s">
        <v>2</v>
      </c>
      <c r="C2" s="1" t="s">
        <v>3</v>
      </c>
      <c r="D2" s="1" t="s">
        <v>4</v>
      </c>
      <c r="E2" s="1" t="s">
        <v>5</v>
      </c>
      <c r="F2" s="12"/>
    </row>
    <row r="3" spans="1:6" x14ac:dyDescent="0.25">
      <c r="A3" s="1" t="s">
        <v>7</v>
      </c>
      <c r="B3" s="1">
        <v>70</v>
      </c>
      <c r="C3" s="1">
        <v>76</v>
      </c>
      <c r="D3" s="1">
        <v>72</v>
      </c>
      <c r="E3" s="1">
        <v>68</v>
      </c>
      <c r="F3" s="1">
        <v>32</v>
      </c>
    </row>
    <row r="4" spans="1:6" x14ac:dyDescent="0.25">
      <c r="A4" s="1" t="s">
        <v>8</v>
      </c>
      <c r="B4" s="1">
        <v>80</v>
      </c>
      <c r="C4" s="1">
        <v>84</v>
      </c>
      <c r="D4" s="1">
        <v>82</v>
      </c>
      <c r="E4" s="1">
        <v>77</v>
      </c>
      <c r="F4" s="1">
        <v>26</v>
      </c>
    </row>
    <row r="5" spans="1:6" x14ac:dyDescent="0.25">
      <c r="A5" s="1" t="s">
        <v>9</v>
      </c>
      <c r="B5" s="1">
        <v>80</v>
      </c>
      <c r="C5" s="1">
        <v>83</v>
      </c>
      <c r="D5" s="1">
        <v>82</v>
      </c>
      <c r="E5" s="1">
        <v>76</v>
      </c>
      <c r="F5" s="1">
        <v>17</v>
      </c>
    </row>
    <row r="6" spans="1:6" x14ac:dyDescent="0.25">
      <c r="A6" s="1" t="s">
        <v>10</v>
      </c>
      <c r="B6" s="1">
        <v>28</v>
      </c>
      <c r="C6" s="1">
        <v>19</v>
      </c>
      <c r="D6" s="1">
        <v>12</v>
      </c>
      <c r="E6" s="1">
        <v>16</v>
      </c>
      <c r="F6" s="1"/>
    </row>
    <row r="8" spans="1:6" x14ac:dyDescent="0.25">
      <c r="A8" s="19"/>
      <c r="B8" s="19"/>
      <c r="C8" s="19"/>
      <c r="D8" s="19"/>
      <c r="E8" s="19"/>
      <c r="F8" s="19"/>
    </row>
    <row r="9" spans="1:6" x14ac:dyDescent="0.25">
      <c r="A9" s="19"/>
      <c r="B9" s="2"/>
      <c r="C9" s="2"/>
      <c r="D9" s="2"/>
      <c r="E9" s="2"/>
      <c r="F9" s="19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6" spans="1:6" x14ac:dyDescent="0.25">
      <c r="A16" t="s">
        <v>11</v>
      </c>
      <c r="B16">
        <f>SUMPRODUCT(B3:E5,B20:E22)</f>
        <v>5715</v>
      </c>
    </row>
    <row r="18" spans="1:6" x14ac:dyDescent="0.25">
      <c r="A18" s="12" t="s">
        <v>0</v>
      </c>
      <c r="B18" s="12" t="s">
        <v>1</v>
      </c>
      <c r="C18" s="12"/>
      <c r="D18" s="12"/>
      <c r="E18" s="12"/>
      <c r="F18" s="12" t="s">
        <v>6</v>
      </c>
    </row>
    <row r="19" spans="1:6" x14ac:dyDescent="0.25">
      <c r="A19" s="12"/>
      <c r="B19" s="1" t="s">
        <v>2</v>
      </c>
      <c r="C19" s="1" t="s">
        <v>3</v>
      </c>
      <c r="D19" s="1" t="s">
        <v>4</v>
      </c>
      <c r="E19" s="1" t="s">
        <v>5</v>
      </c>
      <c r="F19" s="12"/>
    </row>
    <row r="20" spans="1:6" x14ac:dyDescent="0.25">
      <c r="A20" s="1" t="s">
        <v>7</v>
      </c>
      <c r="B20" s="1">
        <v>20</v>
      </c>
      <c r="C20" s="1">
        <v>0</v>
      </c>
      <c r="D20" s="1">
        <v>12</v>
      </c>
      <c r="E20" s="1">
        <v>0</v>
      </c>
      <c r="F20" s="1">
        <f>SUM(B20:E20)</f>
        <v>32</v>
      </c>
    </row>
    <row r="21" spans="1:6" x14ac:dyDescent="0.25">
      <c r="A21" s="1" t="s">
        <v>8</v>
      </c>
      <c r="B21" s="1">
        <v>8</v>
      </c>
      <c r="C21" s="1">
        <v>2</v>
      </c>
      <c r="D21" s="1">
        <v>0</v>
      </c>
      <c r="E21" s="1">
        <v>16</v>
      </c>
      <c r="F21" s="1">
        <f t="shared" ref="F21:F22" si="0">SUM(B21:E21)</f>
        <v>26</v>
      </c>
    </row>
    <row r="22" spans="1:6" x14ac:dyDescent="0.25">
      <c r="A22" s="1" t="s">
        <v>9</v>
      </c>
      <c r="B22" s="1">
        <v>0</v>
      </c>
      <c r="C22" s="1">
        <v>17</v>
      </c>
      <c r="D22" s="1">
        <v>0</v>
      </c>
      <c r="E22" s="1">
        <v>0</v>
      </c>
      <c r="F22" s="1">
        <f t="shared" si="0"/>
        <v>17</v>
      </c>
    </row>
    <row r="23" spans="1:6" x14ac:dyDescent="0.25">
      <c r="A23" s="1" t="s">
        <v>10</v>
      </c>
      <c r="B23" s="1">
        <f>SUM(B20:B22)</f>
        <v>28</v>
      </c>
      <c r="C23" s="1">
        <f t="shared" ref="C23:E23" si="1">SUM(C20:C22)</f>
        <v>19</v>
      </c>
      <c r="D23" s="1">
        <f t="shared" si="1"/>
        <v>12</v>
      </c>
      <c r="E23" s="1">
        <f t="shared" si="1"/>
        <v>16</v>
      </c>
      <c r="F23" s="1"/>
    </row>
  </sheetData>
  <mergeCells count="9">
    <mergeCell ref="A18:A19"/>
    <mergeCell ref="B18:E18"/>
    <mergeCell ref="F18:F19"/>
    <mergeCell ref="A1:A2"/>
    <mergeCell ref="B1:E1"/>
    <mergeCell ref="F1:F2"/>
    <mergeCell ref="A8:A9"/>
    <mergeCell ref="B8:E8"/>
    <mergeCell ref="F8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58E5-A8AD-4173-8A53-01ED682A5DDF}">
  <dimension ref="A1:G7"/>
  <sheetViews>
    <sheetView workbookViewId="0">
      <selection activeCell="F13" sqref="F13"/>
    </sheetView>
  </sheetViews>
  <sheetFormatPr defaultRowHeight="15" x14ac:dyDescent="0.25"/>
  <cols>
    <col min="1" max="1" width="14.5703125" customWidth="1"/>
    <col min="6" max="6" width="31.5703125" customWidth="1"/>
  </cols>
  <sheetData>
    <row r="1" spans="1:7" x14ac:dyDescent="0.25">
      <c r="A1" s="12" t="s">
        <v>0</v>
      </c>
      <c r="B1" s="12" t="s">
        <v>1</v>
      </c>
      <c r="C1" s="12"/>
      <c r="D1" s="12"/>
      <c r="E1" s="12"/>
      <c r="F1" s="12" t="s">
        <v>6</v>
      </c>
    </row>
    <row r="2" spans="1:7" x14ac:dyDescent="0.25">
      <c r="A2" s="12"/>
      <c r="B2" s="1" t="s">
        <v>2</v>
      </c>
      <c r="C2" s="1" t="s">
        <v>3</v>
      </c>
      <c r="D2" s="1" t="s">
        <v>4</v>
      </c>
      <c r="E2" s="1" t="s">
        <v>5</v>
      </c>
      <c r="F2" s="12"/>
    </row>
    <row r="3" spans="1:7" x14ac:dyDescent="0.25">
      <c r="A3" s="1" t="s">
        <v>7</v>
      </c>
      <c r="B3" s="1">
        <v>70</v>
      </c>
      <c r="C3" s="1">
        <v>76</v>
      </c>
      <c r="D3" s="1">
        <v>72</v>
      </c>
      <c r="E3" s="1">
        <v>68</v>
      </c>
      <c r="F3" s="1">
        <v>32</v>
      </c>
    </row>
    <row r="4" spans="1:7" x14ac:dyDescent="0.25">
      <c r="A4" s="1" t="s">
        <v>8</v>
      </c>
      <c r="B4" s="1">
        <v>80</v>
      </c>
      <c r="C4" s="1">
        <v>84</v>
      </c>
      <c r="D4" s="1">
        <v>82</v>
      </c>
      <c r="E4" s="1">
        <v>77</v>
      </c>
      <c r="F4" s="1">
        <v>26</v>
      </c>
    </row>
    <row r="5" spans="1:7" x14ac:dyDescent="0.25">
      <c r="A5" s="1" t="s">
        <v>9</v>
      </c>
      <c r="B5" s="1">
        <v>80</v>
      </c>
      <c r="C5" s="1">
        <v>83</v>
      </c>
      <c r="D5" s="1">
        <v>82</v>
      </c>
      <c r="E5" s="1">
        <v>76</v>
      </c>
      <c r="F5" s="1">
        <v>17</v>
      </c>
    </row>
    <row r="6" spans="1:7" x14ac:dyDescent="0.25">
      <c r="A6" s="1" t="s">
        <v>10</v>
      </c>
      <c r="B6" s="1">
        <v>28</v>
      </c>
      <c r="C6" s="1">
        <v>19</v>
      </c>
      <c r="D6" s="1">
        <v>12</v>
      </c>
      <c r="E6" s="1">
        <v>16</v>
      </c>
      <c r="F6" s="1"/>
      <c r="G6">
        <f>SUM(B6:E6)</f>
        <v>75</v>
      </c>
    </row>
    <row r="7" spans="1:7" x14ac:dyDescent="0.25">
      <c r="F7">
        <f>SUM(F3:F5)</f>
        <v>75</v>
      </c>
    </row>
  </sheetData>
  <mergeCells count="3">
    <mergeCell ref="A1:A2"/>
    <mergeCell ref="B1:E1"/>
    <mergeCell ref="F1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EE4E-5BC6-43B7-9B2D-F7E0D2EDDA2E}">
  <dimension ref="A1:I49"/>
  <sheetViews>
    <sheetView tabSelected="1" topLeftCell="A7" workbookViewId="0">
      <selection activeCell="J22" sqref="J22"/>
    </sheetView>
  </sheetViews>
  <sheetFormatPr defaultRowHeight="15" x14ac:dyDescent="0.25"/>
  <cols>
    <col min="1" max="1" width="16.5703125" customWidth="1"/>
    <col min="6" max="6" width="11.7109375" customWidth="1"/>
    <col min="7" max="7" width="31.28515625" customWidth="1"/>
  </cols>
  <sheetData>
    <row r="1" spans="1:7" x14ac:dyDescent="0.25">
      <c r="A1" s="20"/>
      <c r="B1" s="20"/>
      <c r="C1" s="20"/>
      <c r="D1" s="20"/>
      <c r="E1" s="20"/>
      <c r="F1" s="20"/>
    </row>
    <row r="2" spans="1:7" x14ac:dyDescent="0.25">
      <c r="A2" s="20"/>
      <c r="B2" s="21"/>
      <c r="C2" s="21"/>
      <c r="D2" s="21"/>
      <c r="E2" s="21"/>
      <c r="F2" s="20"/>
    </row>
    <row r="3" spans="1:7" x14ac:dyDescent="0.25">
      <c r="A3" s="21"/>
      <c r="B3" s="21"/>
      <c r="C3" s="21"/>
      <c r="D3" s="21"/>
      <c r="E3" s="21"/>
      <c r="F3" s="21"/>
    </row>
    <row r="4" spans="1:7" x14ac:dyDescent="0.25">
      <c r="A4" s="21"/>
      <c r="B4" s="21"/>
      <c r="C4" s="21"/>
      <c r="D4" s="21"/>
      <c r="E4" s="21"/>
      <c r="F4" s="21"/>
    </row>
    <row r="5" spans="1:7" x14ac:dyDescent="0.25">
      <c r="A5" s="21"/>
      <c r="B5" s="21"/>
      <c r="C5" s="21"/>
      <c r="D5" s="21"/>
      <c r="E5" s="21"/>
      <c r="F5" s="21"/>
    </row>
    <row r="6" spans="1:7" x14ac:dyDescent="0.25">
      <c r="A6" s="21"/>
      <c r="B6" s="21"/>
      <c r="C6" s="21"/>
      <c r="D6" s="21"/>
      <c r="E6" s="21"/>
      <c r="F6" s="21"/>
    </row>
    <row r="9" spans="1:7" x14ac:dyDescent="0.25">
      <c r="A9" s="20"/>
      <c r="B9" s="20"/>
      <c r="C9" s="20"/>
      <c r="D9" s="20"/>
      <c r="E9" s="20"/>
      <c r="F9" s="19"/>
    </row>
    <row r="10" spans="1:7" x14ac:dyDescent="0.25">
      <c r="A10" s="20"/>
      <c r="B10" s="21"/>
      <c r="C10" s="21"/>
      <c r="D10" s="21"/>
      <c r="E10" s="21"/>
      <c r="F10" s="19"/>
    </row>
    <row r="11" spans="1:7" x14ac:dyDescent="0.25">
      <c r="A11" s="21"/>
      <c r="B11" s="21"/>
      <c r="C11" s="21"/>
      <c r="D11" s="21"/>
      <c r="E11" s="21"/>
      <c r="F11" s="2"/>
    </row>
    <row r="12" spans="1:7" x14ac:dyDescent="0.25">
      <c r="A12" s="21"/>
      <c r="B12" s="21"/>
      <c r="C12" s="21"/>
      <c r="D12" s="21"/>
      <c r="E12" s="21"/>
      <c r="F12" s="2"/>
    </row>
    <row r="13" spans="1:7" x14ac:dyDescent="0.25">
      <c r="A13" s="21"/>
      <c r="B13" s="21"/>
      <c r="C13" s="21"/>
      <c r="D13" s="21"/>
      <c r="E13" s="21"/>
      <c r="F13" s="2"/>
    </row>
    <row r="14" spans="1:7" x14ac:dyDescent="0.25">
      <c r="A14" s="21"/>
      <c r="B14" s="21"/>
      <c r="C14" s="21"/>
      <c r="D14" s="21"/>
      <c r="E14" s="21"/>
      <c r="F14" s="2"/>
    </row>
    <row r="16" spans="1:7" ht="18" x14ac:dyDescent="0.35">
      <c r="A16" s="13" t="s">
        <v>12</v>
      </c>
      <c r="B16" s="14"/>
      <c r="C16" s="12" t="s">
        <v>13</v>
      </c>
      <c r="D16" s="12"/>
      <c r="E16" s="12"/>
      <c r="F16" s="12"/>
      <c r="G16" s="12" t="s">
        <v>6</v>
      </c>
    </row>
    <row r="17" spans="1:9" x14ac:dyDescent="0.25">
      <c r="A17" s="15"/>
      <c r="B17" s="16"/>
      <c r="C17" s="1" t="s">
        <v>2</v>
      </c>
      <c r="D17" s="1" t="s">
        <v>3</v>
      </c>
      <c r="E17" s="1" t="s">
        <v>4</v>
      </c>
      <c r="F17" s="3" t="s">
        <v>5</v>
      </c>
      <c r="G17" s="12"/>
      <c r="I17" s="22"/>
    </row>
    <row r="18" spans="1:9" x14ac:dyDescent="0.25">
      <c r="A18" s="17"/>
      <c r="B18" s="18"/>
      <c r="C18" s="4"/>
      <c r="D18" s="4"/>
      <c r="E18" s="4"/>
      <c r="F18" s="4"/>
      <c r="G18" s="1"/>
    </row>
    <row r="19" spans="1:9" x14ac:dyDescent="0.25">
      <c r="A19" s="8" t="s">
        <v>7</v>
      </c>
      <c r="B19" s="10"/>
      <c r="C19" s="1">
        <v>70</v>
      </c>
      <c r="D19" s="1">
        <v>76</v>
      </c>
      <c r="E19" s="1">
        <v>72</v>
      </c>
      <c r="F19" s="1">
        <v>68</v>
      </c>
      <c r="G19" s="1">
        <v>32</v>
      </c>
      <c r="I19" s="22"/>
    </row>
    <row r="20" spans="1:9" ht="15.75" x14ac:dyDescent="0.25">
      <c r="A20" s="9"/>
      <c r="B20" s="11"/>
      <c r="C20" s="7">
        <v>16</v>
      </c>
      <c r="D20" s="6"/>
      <c r="E20" s="6"/>
      <c r="F20" s="6">
        <v>16</v>
      </c>
      <c r="G20" s="1"/>
    </row>
    <row r="21" spans="1:9" x14ac:dyDescent="0.25">
      <c r="A21" s="8" t="s">
        <v>8</v>
      </c>
      <c r="B21" s="10"/>
      <c r="C21" s="1">
        <v>80</v>
      </c>
      <c r="D21" s="1">
        <v>84</v>
      </c>
      <c r="E21" s="1">
        <v>82</v>
      </c>
      <c r="F21" s="1">
        <v>77</v>
      </c>
      <c r="G21" s="1">
        <v>26</v>
      </c>
      <c r="I21" s="22"/>
    </row>
    <row r="22" spans="1:9" ht="15.75" x14ac:dyDescent="0.25">
      <c r="A22" s="9"/>
      <c r="B22" s="11"/>
      <c r="C22" s="6">
        <v>12</v>
      </c>
      <c r="D22" s="6">
        <v>2</v>
      </c>
      <c r="E22" s="6">
        <v>12</v>
      </c>
      <c r="F22" s="6"/>
      <c r="G22" s="6"/>
    </row>
    <row r="23" spans="1:9" x14ac:dyDescent="0.25">
      <c r="A23" s="8" t="s">
        <v>9</v>
      </c>
      <c r="B23" s="10"/>
      <c r="C23" s="1">
        <v>80</v>
      </c>
      <c r="D23" s="1">
        <v>83</v>
      </c>
      <c r="E23" s="1">
        <v>82</v>
      </c>
      <c r="F23" s="1">
        <v>76</v>
      </c>
      <c r="G23" s="5">
        <v>17</v>
      </c>
    </row>
    <row r="24" spans="1:9" ht="15.75" x14ac:dyDescent="0.25">
      <c r="A24" s="9"/>
      <c r="B24" s="11"/>
      <c r="C24" s="7"/>
      <c r="D24" s="7">
        <v>17</v>
      </c>
      <c r="E24" s="7"/>
      <c r="F24" s="7"/>
      <c r="G24" s="7"/>
    </row>
    <row r="27" spans="1:9" ht="18" x14ac:dyDescent="0.35">
      <c r="A27" s="13" t="s">
        <v>12</v>
      </c>
      <c r="B27" s="14"/>
      <c r="C27" s="12" t="s">
        <v>13</v>
      </c>
      <c r="D27" s="12"/>
      <c r="E27" s="12"/>
      <c r="F27" s="12"/>
      <c r="G27" s="12" t="s">
        <v>6</v>
      </c>
    </row>
    <row r="28" spans="1:9" x14ac:dyDescent="0.25">
      <c r="A28" s="15"/>
      <c r="B28" s="16"/>
      <c r="C28" s="1" t="s">
        <v>2</v>
      </c>
      <c r="D28" s="1" t="s">
        <v>3</v>
      </c>
      <c r="E28" s="1" t="s">
        <v>4</v>
      </c>
      <c r="F28" s="3" t="s">
        <v>5</v>
      </c>
      <c r="G28" s="12"/>
    </row>
    <row r="29" spans="1:9" x14ac:dyDescent="0.25">
      <c r="A29" s="17"/>
      <c r="B29" s="18"/>
      <c r="C29" s="4"/>
      <c r="D29" s="4"/>
      <c r="E29" s="4"/>
      <c r="F29" s="4"/>
      <c r="G29" s="1"/>
    </row>
    <row r="30" spans="1:9" x14ac:dyDescent="0.25">
      <c r="A30" s="8" t="s">
        <v>7</v>
      </c>
      <c r="B30" s="10"/>
      <c r="C30" s="1">
        <v>70</v>
      </c>
      <c r="D30" s="1">
        <v>76</v>
      </c>
      <c r="E30" s="1">
        <v>72</v>
      </c>
      <c r="F30" s="1">
        <v>68</v>
      </c>
      <c r="G30" s="1">
        <v>32</v>
      </c>
    </row>
    <row r="31" spans="1:9" ht="15.75" x14ac:dyDescent="0.25">
      <c r="A31" s="9"/>
      <c r="B31" s="11"/>
      <c r="C31" s="7">
        <v>28</v>
      </c>
      <c r="D31" s="6"/>
      <c r="E31" s="6"/>
      <c r="F31" s="6">
        <v>4</v>
      </c>
      <c r="G31" s="1"/>
    </row>
    <row r="32" spans="1:9" x14ac:dyDescent="0.25">
      <c r="A32" s="8" t="s">
        <v>8</v>
      </c>
      <c r="B32" s="10"/>
      <c r="C32" s="1">
        <v>80</v>
      </c>
      <c r="D32" s="1">
        <v>84</v>
      </c>
      <c r="E32" s="1">
        <v>82</v>
      </c>
      <c r="F32" s="1">
        <v>77</v>
      </c>
      <c r="G32" s="1">
        <v>26</v>
      </c>
    </row>
    <row r="33" spans="1:7" ht="15.75" x14ac:dyDescent="0.25">
      <c r="A33" s="9"/>
      <c r="B33" s="11"/>
      <c r="C33" s="6"/>
      <c r="D33" s="6">
        <v>2</v>
      </c>
      <c r="E33" s="6">
        <v>12</v>
      </c>
      <c r="F33" s="6">
        <v>12</v>
      </c>
      <c r="G33" s="6"/>
    </row>
    <row r="34" spans="1:7" x14ac:dyDescent="0.25">
      <c r="A34" s="8" t="s">
        <v>9</v>
      </c>
      <c r="B34" s="10"/>
      <c r="C34" s="1">
        <v>80</v>
      </c>
      <c r="D34" s="1">
        <v>83</v>
      </c>
      <c r="E34" s="1">
        <v>82</v>
      </c>
      <c r="F34" s="1">
        <v>76</v>
      </c>
      <c r="G34" s="5">
        <v>17</v>
      </c>
    </row>
    <row r="35" spans="1:7" ht="15.75" x14ac:dyDescent="0.25">
      <c r="A35" s="9"/>
      <c r="B35" s="11"/>
      <c r="C35" s="7"/>
      <c r="D35" s="7">
        <v>17</v>
      </c>
      <c r="E35" s="7"/>
      <c r="F35" s="7"/>
      <c r="G35" s="7"/>
    </row>
    <row r="38" spans="1:7" ht="18" x14ac:dyDescent="0.35">
      <c r="A38" s="13" t="s">
        <v>12</v>
      </c>
      <c r="B38" s="14"/>
      <c r="C38" s="12" t="s">
        <v>13</v>
      </c>
      <c r="D38" s="12"/>
      <c r="E38" s="12"/>
      <c r="F38" s="12"/>
      <c r="G38" s="12" t="s">
        <v>6</v>
      </c>
    </row>
    <row r="39" spans="1:7" x14ac:dyDescent="0.25">
      <c r="A39" s="15"/>
      <c r="B39" s="16"/>
      <c r="C39" s="1" t="s">
        <v>2</v>
      </c>
      <c r="D39" s="1" t="s">
        <v>3</v>
      </c>
      <c r="E39" s="1" t="s">
        <v>4</v>
      </c>
      <c r="F39" s="3" t="s">
        <v>5</v>
      </c>
      <c r="G39" s="12"/>
    </row>
    <row r="40" spans="1:7" x14ac:dyDescent="0.25">
      <c r="A40" s="17"/>
      <c r="B40" s="18"/>
      <c r="C40" s="4"/>
      <c r="D40" s="4"/>
      <c r="E40" s="4"/>
      <c r="F40" s="4"/>
      <c r="G40" s="1"/>
    </row>
    <row r="41" spans="1:7" x14ac:dyDescent="0.25">
      <c r="A41" s="8" t="s">
        <v>7</v>
      </c>
      <c r="B41" s="10"/>
      <c r="C41" s="1">
        <v>70</v>
      </c>
      <c r="D41" s="1">
        <v>76</v>
      </c>
      <c r="E41" s="1">
        <v>72</v>
      </c>
      <c r="F41" s="1">
        <v>68</v>
      </c>
      <c r="G41" s="1">
        <v>32</v>
      </c>
    </row>
    <row r="42" spans="1:7" ht="15.75" x14ac:dyDescent="0.25">
      <c r="A42" s="9"/>
      <c r="B42" s="11"/>
      <c r="C42" s="7">
        <v>28</v>
      </c>
      <c r="D42" s="6"/>
      <c r="E42" s="6">
        <v>4</v>
      </c>
      <c r="F42" s="6"/>
      <c r="G42" s="1"/>
    </row>
    <row r="43" spans="1:7" x14ac:dyDescent="0.25">
      <c r="A43" s="8" t="s">
        <v>8</v>
      </c>
      <c r="B43" s="10"/>
      <c r="C43" s="1">
        <v>80</v>
      </c>
      <c r="D43" s="1">
        <v>84</v>
      </c>
      <c r="E43" s="1">
        <v>82</v>
      </c>
      <c r="F43" s="1">
        <v>77</v>
      </c>
      <c r="G43" s="1">
        <v>26</v>
      </c>
    </row>
    <row r="44" spans="1:7" ht="15.75" x14ac:dyDescent="0.25">
      <c r="A44" s="9"/>
      <c r="B44" s="11"/>
      <c r="C44" s="6"/>
      <c r="D44" s="6">
        <v>2</v>
      </c>
      <c r="E44" s="6">
        <v>8</v>
      </c>
      <c r="F44" s="6">
        <v>16</v>
      </c>
      <c r="G44" s="6"/>
    </row>
    <row r="45" spans="1:7" x14ac:dyDescent="0.25">
      <c r="A45" s="8" t="s">
        <v>9</v>
      </c>
      <c r="B45" s="10"/>
      <c r="C45" s="1">
        <v>80</v>
      </c>
      <c r="D45" s="1">
        <v>83</v>
      </c>
      <c r="E45" s="1">
        <v>82</v>
      </c>
      <c r="F45" s="1">
        <v>76</v>
      </c>
      <c r="G45" s="5">
        <v>17</v>
      </c>
    </row>
    <row r="46" spans="1:7" ht="15.75" x14ac:dyDescent="0.25">
      <c r="A46" s="9"/>
      <c r="B46" s="11"/>
      <c r="C46" s="7"/>
      <c r="D46" s="7">
        <v>17</v>
      </c>
      <c r="E46" s="7"/>
      <c r="F46" s="7"/>
      <c r="G46" s="7"/>
    </row>
    <row r="49" spans="1:2" x14ac:dyDescent="0.25">
      <c r="A49" t="s">
        <v>11</v>
      </c>
      <c r="B49">
        <f>C42*C41+E42*E41+D44*D43+E44*E43+F44*F43+D46*D45</f>
        <v>5715</v>
      </c>
    </row>
  </sheetData>
  <mergeCells count="33">
    <mergeCell ref="A45:A46"/>
    <mergeCell ref="B45:B46"/>
    <mergeCell ref="C38:F38"/>
    <mergeCell ref="G38:G39"/>
    <mergeCell ref="A41:A42"/>
    <mergeCell ref="B41:B42"/>
    <mergeCell ref="A43:A44"/>
    <mergeCell ref="B43:B44"/>
    <mergeCell ref="A32:A33"/>
    <mergeCell ref="B32:B33"/>
    <mergeCell ref="A34:A35"/>
    <mergeCell ref="B34:B35"/>
    <mergeCell ref="A38:B40"/>
    <mergeCell ref="A27:B29"/>
    <mergeCell ref="C27:F27"/>
    <mergeCell ref="G27:G28"/>
    <mergeCell ref="A30:A31"/>
    <mergeCell ref="B30:B31"/>
    <mergeCell ref="A1:A2"/>
    <mergeCell ref="B1:E1"/>
    <mergeCell ref="F1:F2"/>
    <mergeCell ref="A9:A10"/>
    <mergeCell ref="B9:E9"/>
    <mergeCell ref="F9:F10"/>
    <mergeCell ref="A23:A24"/>
    <mergeCell ref="B23:B24"/>
    <mergeCell ref="C16:F16"/>
    <mergeCell ref="G16:G17"/>
    <mergeCell ref="A16:B18"/>
    <mergeCell ref="A19:A20"/>
    <mergeCell ref="B19:B20"/>
    <mergeCell ref="A21:A22"/>
    <mergeCell ref="B21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поиск решения</vt:lpstr>
      <vt:lpstr>мат модель</vt:lpstr>
      <vt:lpstr>потенциалов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2026-02-13T08:21:48Z</dcterms:modified>
</cp:coreProperties>
</file>