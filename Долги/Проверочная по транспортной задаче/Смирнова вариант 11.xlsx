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54.TPK.002\Desktop\"/>
    </mc:Choice>
  </mc:AlternateContent>
  <xr:revisionPtr revIDLastSave="0" documentId="13_ncr:1_{4EC72CAD-3432-4F8C-8765-D2E1D1145DAF}" xr6:coauthVersionLast="45" xr6:coauthVersionMax="45" xr10:uidLastSave="{00000000-0000-0000-0000-000000000000}"/>
  <bookViews>
    <workbookView xWindow="-60" yWindow="-60" windowWidth="20610" windowHeight="10980" xr2:uid="{259D8736-1DDF-4CC8-965B-F86C246908A7}"/>
  </bookViews>
  <sheets>
    <sheet name="Поиск решения" sheetId="1" r:id="rId1"/>
    <sheet name="Метод потенциалов" sheetId="2" r:id="rId2"/>
  </sheets>
  <definedNames>
    <definedName name="solver_adj" localSheetId="0" hidden="1">'Поиск решения'!$I$3:$K$6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'Поиск решения'!$I$3:$K$6</definedName>
    <definedName name="solver_lhs2" localSheetId="0" hidden="1">'Поиск решения'!$I$7:$K$7</definedName>
    <definedName name="solver_lhs3" localSheetId="0" hidden="1">'Поиск решения'!$L$3:$L$6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'Поиск решения'!$B$11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2</definedName>
    <definedName name="solver_rel3" localSheetId="0" hidden="1">2</definedName>
    <definedName name="solver_rhs1" localSheetId="0" hidden="1">"целое"</definedName>
    <definedName name="solver_rhs2" localSheetId="0" hidden="1">'Поиск решения'!$B$7:$D$7</definedName>
    <definedName name="solver_rhs3" localSheetId="0" hidden="1">'Поиск решения'!$E$3:$E$6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7" i="1" l="1"/>
  <c r="K7" i="1"/>
  <c r="I7" i="1"/>
  <c r="L4" i="1"/>
  <c r="L5" i="1"/>
  <c r="L6" i="1"/>
  <c r="L3" i="1"/>
  <c r="B11" i="1"/>
  <c r="E8" i="1" l="1"/>
  <c r="F7" i="1"/>
</calcChain>
</file>

<file path=xl/sharedStrings.xml><?xml version="1.0" encoding="utf-8"?>
<sst xmlns="http://schemas.openxmlformats.org/spreadsheetml/2006/main" count="21" uniqueCount="10">
  <si>
    <t>Города</t>
  </si>
  <si>
    <t>Москва</t>
  </si>
  <si>
    <t>Киров</t>
  </si>
  <si>
    <t>Смоленск</t>
  </si>
  <si>
    <t>Запасы, тыс.шт</t>
  </si>
  <si>
    <t>Санкт-Петербург</t>
  </si>
  <si>
    <t>Новогород</t>
  </si>
  <si>
    <t xml:space="preserve">Тольяттии </t>
  </si>
  <si>
    <t>Заказы, шт</t>
  </si>
  <si>
    <t>F(X)=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</si>
</sst>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342E-D6C5-4CCE-9AD2-A6FD25E8AE25}">
  <dimension ref="A1:L11"/>
  <sheetViews>
    <sheetView tabSelected="1" workbookViewId="0">
      <selection activeCell="B11" sqref="B11"/>
    </sheetView>
  </sheetViews>
  <sheetFormatPr defaultRowHeight="15" x14ac:dyDescent="0.25"/>
  <cols>
    <col min="1" max="1" width="19.42578125" bestFit="1" customWidth="1"/>
    <col min="5" max="5" width="14.7109375" bestFit="1" customWidth="1"/>
    <col min="8" max="8" width="16.5703125" bestFit="1" customWidth="1"/>
    <col min="11" max="11" width="10" bestFit="1" customWidth="1"/>
    <col min="12" max="12" width="14.7109375" bestFit="1" customWidth="1"/>
  </cols>
  <sheetData>
    <row r="1" spans="1:12" x14ac:dyDescent="0.25">
      <c r="A1" s="1" t="s">
        <v>0</v>
      </c>
      <c r="B1" s="1" t="s">
        <v>0</v>
      </c>
      <c r="C1" s="1"/>
      <c r="D1" s="1"/>
      <c r="E1" s="1" t="s">
        <v>4</v>
      </c>
      <c r="H1" s="1" t="s">
        <v>0</v>
      </c>
      <c r="I1" s="1" t="s">
        <v>0</v>
      </c>
      <c r="J1" s="1"/>
      <c r="K1" s="1"/>
      <c r="L1" s="1" t="s">
        <v>4</v>
      </c>
    </row>
    <row r="2" spans="1:12" x14ac:dyDescent="0.25">
      <c r="A2" s="1"/>
      <c r="B2" s="2" t="s">
        <v>1</v>
      </c>
      <c r="C2" s="2" t="s">
        <v>2</v>
      </c>
      <c r="D2" s="2" t="s">
        <v>3</v>
      </c>
      <c r="E2" s="1"/>
      <c r="H2" s="1"/>
      <c r="I2" s="2" t="s">
        <v>1</v>
      </c>
      <c r="J2" s="2" t="s">
        <v>2</v>
      </c>
      <c r="K2" s="2" t="s">
        <v>3</v>
      </c>
      <c r="L2" s="1"/>
    </row>
    <row r="3" spans="1:12" x14ac:dyDescent="0.25">
      <c r="A3" s="2" t="s">
        <v>5</v>
      </c>
      <c r="B3" s="2">
        <v>12000</v>
      </c>
      <c r="C3" s="2">
        <v>6000</v>
      </c>
      <c r="D3" s="2">
        <v>5000</v>
      </c>
      <c r="E3" s="2">
        <v>30</v>
      </c>
      <c r="H3" s="2" t="s">
        <v>5</v>
      </c>
      <c r="I3" s="2">
        <v>0</v>
      </c>
      <c r="J3" s="2">
        <v>30</v>
      </c>
      <c r="K3" s="2">
        <v>0</v>
      </c>
      <c r="L3" s="2">
        <f>SUM(I3:K3)</f>
        <v>30</v>
      </c>
    </row>
    <row r="4" spans="1:12" x14ac:dyDescent="0.25">
      <c r="A4" s="2" t="s">
        <v>6</v>
      </c>
      <c r="B4" s="2">
        <v>6000</v>
      </c>
      <c r="C4" s="2">
        <v>4000</v>
      </c>
      <c r="D4" s="2">
        <v>2000</v>
      </c>
      <c r="E4" s="2">
        <v>60</v>
      </c>
      <c r="H4" s="2" t="s">
        <v>6</v>
      </c>
      <c r="I4" s="2">
        <v>60</v>
      </c>
      <c r="J4" s="2">
        <v>0</v>
      </c>
      <c r="K4" s="2">
        <v>0</v>
      </c>
      <c r="L4" s="2">
        <f t="shared" ref="L4:L6" si="0">SUM(I4:K4)</f>
        <v>60</v>
      </c>
    </row>
    <row r="5" spans="1:12" x14ac:dyDescent="0.25">
      <c r="A5" s="2" t="s">
        <v>7</v>
      </c>
      <c r="B5" s="2">
        <v>8000</v>
      </c>
      <c r="C5" s="2">
        <v>4000</v>
      </c>
      <c r="D5" s="2">
        <v>1000</v>
      </c>
      <c r="E5" s="2">
        <v>80</v>
      </c>
      <c r="H5" s="2" t="s">
        <v>7</v>
      </c>
      <c r="I5" s="2">
        <v>35</v>
      </c>
      <c r="J5" s="2">
        <v>25</v>
      </c>
      <c r="K5" s="2">
        <v>20</v>
      </c>
      <c r="L5" s="2">
        <f t="shared" si="0"/>
        <v>80</v>
      </c>
    </row>
    <row r="6" spans="1:12" x14ac:dyDescent="0.25">
      <c r="A6" s="2"/>
      <c r="B6" s="2">
        <v>0</v>
      </c>
      <c r="C6" s="2">
        <v>0</v>
      </c>
      <c r="D6" s="2">
        <v>0</v>
      </c>
      <c r="E6" s="2">
        <v>5</v>
      </c>
      <c r="H6" s="2"/>
      <c r="I6" s="2">
        <v>5</v>
      </c>
      <c r="J6" s="2">
        <v>0</v>
      </c>
      <c r="K6" s="2">
        <v>0</v>
      </c>
      <c r="L6" s="2">
        <f t="shared" si="0"/>
        <v>5</v>
      </c>
    </row>
    <row r="7" spans="1:12" x14ac:dyDescent="0.25">
      <c r="A7" s="2" t="s">
        <v>8</v>
      </c>
      <c r="B7" s="2">
        <v>100</v>
      </c>
      <c r="C7" s="2">
        <v>55</v>
      </c>
      <c r="D7" s="2">
        <v>20</v>
      </c>
      <c r="E7" s="2"/>
      <c r="F7">
        <f>SUM(B7:D7)</f>
        <v>175</v>
      </c>
      <c r="H7" s="2" t="s">
        <v>8</v>
      </c>
      <c r="I7" s="2">
        <f>SUM(I3:I6)</f>
        <v>100</v>
      </c>
      <c r="J7" s="2">
        <f>SUM(J3:J6)</f>
        <v>55</v>
      </c>
      <c r="K7" s="2">
        <f t="shared" ref="J7:K7" si="1">SUM(K3:K6)</f>
        <v>20</v>
      </c>
      <c r="L7" s="2"/>
    </row>
    <row r="8" spans="1:12" x14ac:dyDescent="0.25">
      <c r="E8">
        <f>SUM(E3:E6)</f>
        <v>175</v>
      </c>
    </row>
    <row r="11" spans="1:12" x14ac:dyDescent="0.25">
      <c r="A11" t="s">
        <v>9</v>
      </c>
      <c r="B11">
        <f>SUMPRODUCT(B3:D6,I3:K6)</f>
        <v>940000</v>
      </c>
    </row>
  </sheetData>
  <mergeCells count="6">
    <mergeCell ref="A1:A2"/>
    <mergeCell ref="B1:D1"/>
    <mergeCell ref="E1:E2"/>
    <mergeCell ref="H1:H2"/>
    <mergeCell ref="I1:K1"/>
    <mergeCell ref="L1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2BCE-5199-42C7-A5BF-982A3D30F8D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Поиск решения</vt:lpstr>
      <vt:lpstr>Метод потенциалов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каб54</dc:creator>
  <cp:lastModifiedBy>Студент каб54</cp:lastModifiedBy>
  <dcterms:created xsi:type="dcterms:W3CDTF">2026-02-13T06:58:02Z</dcterms:created>
  <dcterms:modified xsi:type="dcterms:W3CDTF">2026-02-13T08:11:35Z</dcterms:modified>
</cp:coreProperties>
</file>