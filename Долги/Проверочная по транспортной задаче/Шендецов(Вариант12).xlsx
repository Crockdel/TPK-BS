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транспортной задаче\"/>
    </mc:Choice>
  </mc:AlternateContent>
  <xr:revisionPtr revIDLastSave="0" documentId="13_ncr:1_{4D3C06D1-95DC-4F9D-8356-7EEBD7C52F47}" xr6:coauthVersionLast="45" xr6:coauthVersionMax="45" xr10:uidLastSave="{00000000-0000-0000-0000-000000000000}"/>
  <bookViews>
    <workbookView xWindow="-60" yWindow="-60" windowWidth="20610" windowHeight="10980" xr2:uid="{E8A86F65-DEA4-4D3E-B9AD-05B556BC1506}"/>
  </bookViews>
  <sheets>
    <sheet name="Метод_потенциалов" sheetId="1" r:id="rId1"/>
    <sheet name="Поиск_решени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5" i="1" l="1"/>
  <c r="N14" i="1"/>
  <c r="N13" i="1"/>
  <c r="E8" i="2" l="1"/>
  <c r="B13" i="2"/>
  <c r="B12" i="2"/>
  <c r="B11" i="2"/>
  <c r="D18" i="1"/>
</calcChain>
</file>

<file path=xl/sharedStrings.xml><?xml version="1.0" encoding="utf-8"?>
<sst xmlns="http://schemas.openxmlformats.org/spreadsheetml/2006/main" count="84" uniqueCount="33">
  <si>
    <t>Склады</t>
  </si>
  <si>
    <t>Аптеки больниц</t>
  </si>
  <si>
    <t>№1</t>
  </si>
  <si>
    <t>№2</t>
  </si>
  <si>
    <t>№3</t>
  </si>
  <si>
    <t>№4</t>
  </si>
  <si>
    <t>Запасы</t>
  </si>
  <si>
    <t>№5</t>
  </si>
  <si>
    <t>Промы</t>
  </si>
  <si>
    <t>Фарма</t>
  </si>
  <si>
    <t>МЕДИК</t>
  </si>
  <si>
    <t>Заказы</t>
  </si>
  <si>
    <t>Метод северо-западного угла</t>
  </si>
  <si>
    <t>Стоимость начального плана</t>
  </si>
  <si>
    <t>Минимальные затраты</t>
  </si>
  <si>
    <t>=</t>
  </si>
  <si>
    <t>Оптимальный план</t>
  </si>
  <si>
    <t>Проверка баланса</t>
  </si>
  <si>
    <t>50 (фарма)+150 (МЕДИК)</t>
  </si>
  <si>
    <t>50 (МЕДИК)</t>
  </si>
  <si>
    <t>60 (Промы)</t>
  </si>
  <si>
    <t>40 (Промы)+60 (Фарма)</t>
  </si>
  <si>
    <t>40 (Фарма)</t>
  </si>
  <si>
    <t>Все заказы выполнены, запасы использованы.</t>
  </si>
  <si>
    <t>Стоимость</t>
  </si>
  <si>
    <t>Потенциалы</t>
  </si>
  <si>
    <t>Выразим</t>
  </si>
  <si>
    <r>
      <t>Примем u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= 0 
1
​	
 =0</t>
    </r>
  </si>
  <si>
    <r>
      <t xml:space="preserve">Далее оцениваем свободные клетки и если хотябы одна отрицательная, то план </t>
    </r>
    <r>
      <rPr>
        <b/>
        <sz val="11"/>
        <color theme="1"/>
        <rFont val="Calibri"/>
        <family val="2"/>
        <charset val="204"/>
        <scheme val="minor"/>
      </rPr>
      <t>не оптимален</t>
    </r>
  </si>
  <si>
    <t>Пример</t>
  </si>
  <si>
    <t>Базисные клетки</t>
  </si>
  <si>
    <t xml:space="preserve">Примем u1 = 0 </t>
  </si>
  <si>
    <r>
      <t xml:space="preserve">Следовательно план </t>
    </r>
    <r>
      <rPr>
        <b/>
        <sz val="11"/>
        <color theme="1"/>
        <rFont val="Calibri"/>
        <family val="2"/>
        <charset val="204"/>
        <scheme val="minor"/>
      </rPr>
      <t>не оптимален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</si>
</sst>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0" fillId="2" borderId="0" xfId="0" applyFill="1"/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3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22</xdr:row>
      <xdr:rowOff>66674</xdr:rowOff>
    </xdr:from>
    <xdr:to>
      <xdr:col>1</xdr:col>
      <xdr:colOff>514350</xdr:colOff>
      <xdr:row>28</xdr:row>
      <xdr:rowOff>103963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8FAFE0-D7E8-4AFA-B56A-6BD474DF8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257674"/>
          <a:ext cx="1066800" cy="1180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30</xdr:row>
      <xdr:rowOff>9524</xdr:rowOff>
    </xdr:from>
    <xdr:to>
      <xdr:col>1</xdr:col>
      <xdr:colOff>526256</xdr:colOff>
      <xdr:row>33</xdr:row>
      <xdr:rowOff>57149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17A7779-0835-4160-99DF-50E85B65F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724524"/>
          <a:ext cx="1059656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33618</xdr:colOff>
      <xdr:row>40</xdr:row>
      <xdr:rowOff>56028</xdr:rowOff>
    </xdr:from>
    <xdr:to>
      <xdr:col>3</xdr:col>
      <xdr:colOff>90343</xdr:colOff>
      <xdr:row>48</xdr:row>
      <xdr:rowOff>47623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FD67514-2A6C-4F70-9D5A-F7A0A798C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676028"/>
          <a:ext cx="1939313" cy="1515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44823</xdr:colOff>
      <xdr:row>49</xdr:row>
      <xdr:rowOff>11206</xdr:rowOff>
    </xdr:from>
    <xdr:to>
      <xdr:col>4</xdr:col>
      <xdr:colOff>380366</xdr:colOff>
      <xdr:row>52</xdr:row>
      <xdr:rowOff>93009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0D430F4-2878-4E3B-B505-9A15A3959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3" y="9345706"/>
          <a:ext cx="2823249" cy="653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80AE-B25E-4970-B7EC-CEF9DE2A34D6}">
  <dimension ref="A1:Q54"/>
  <sheetViews>
    <sheetView tabSelected="1" zoomScale="85" zoomScaleNormal="85" workbookViewId="0">
      <selection activeCell="K22" sqref="K22"/>
    </sheetView>
  </sheetViews>
  <sheetFormatPr defaultRowHeight="15" x14ac:dyDescent="0.25"/>
  <cols>
    <col min="3" max="3" width="10.140625" customWidth="1"/>
  </cols>
  <sheetData>
    <row r="1" spans="1:17" x14ac:dyDescent="0.25">
      <c r="A1" s="2" t="s">
        <v>0</v>
      </c>
      <c r="B1" s="3" t="s">
        <v>1</v>
      </c>
      <c r="C1" s="3"/>
      <c r="D1" s="3"/>
      <c r="E1" s="3"/>
      <c r="F1" s="3"/>
      <c r="G1" s="2" t="s">
        <v>6</v>
      </c>
      <c r="J1" s="10"/>
      <c r="K1" s="11"/>
      <c r="L1" s="11"/>
      <c r="M1" s="11"/>
      <c r="N1" s="11"/>
      <c r="O1" s="11"/>
      <c r="P1" s="10"/>
    </row>
    <row r="2" spans="1:17" x14ac:dyDescent="0.25">
      <c r="A2" s="2"/>
      <c r="B2" s="4" t="s">
        <v>2</v>
      </c>
      <c r="C2" s="4" t="s">
        <v>3</v>
      </c>
      <c r="D2" s="4" t="s">
        <v>4</v>
      </c>
      <c r="E2" s="4" t="s">
        <v>5</v>
      </c>
      <c r="F2" s="5" t="s">
        <v>7</v>
      </c>
      <c r="G2" s="2"/>
      <c r="J2" s="10"/>
      <c r="K2" s="6" t="s">
        <v>16</v>
      </c>
      <c r="L2" s="6"/>
      <c r="M2" s="6"/>
      <c r="N2" s="6"/>
      <c r="O2" s="6"/>
      <c r="P2" s="6"/>
      <c r="Q2" s="6"/>
    </row>
    <row r="3" spans="1:17" x14ac:dyDescent="0.25">
      <c r="A3" s="4" t="s">
        <v>8</v>
      </c>
      <c r="B3" s="4">
        <v>10</v>
      </c>
      <c r="C3" s="4">
        <v>12</v>
      </c>
      <c r="D3" s="4">
        <v>7</v>
      </c>
      <c r="E3" s="4">
        <v>7</v>
      </c>
      <c r="F3" s="4">
        <v>8</v>
      </c>
      <c r="G3" s="4">
        <v>100</v>
      </c>
      <c r="J3" s="8"/>
      <c r="K3" s="2" t="s">
        <v>0</v>
      </c>
      <c r="L3" s="3" t="s">
        <v>1</v>
      </c>
      <c r="M3" s="3"/>
      <c r="N3" s="3"/>
      <c r="O3" s="3"/>
      <c r="P3" s="3"/>
      <c r="Q3" s="2" t="s">
        <v>6</v>
      </c>
    </row>
    <row r="4" spans="1:17" x14ac:dyDescent="0.25">
      <c r="A4" s="4" t="s">
        <v>9</v>
      </c>
      <c r="B4" s="4">
        <v>10</v>
      </c>
      <c r="C4" s="4">
        <v>12</v>
      </c>
      <c r="D4" s="4">
        <v>8</v>
      </c>
      <c r="E4" s="4">
        <v>9</v>
      </c>
      <c r="F4" s="4">
        <v>12</v>
      </c>
      <c r="G4" s="4">
        <v>150</v>
      </c>
      <c r="J4" s="8"/>
      <c r="K4" s="2"/>
      <c r="L4" s="4" t="s">
        <v>2</v>
      </c>
      <c r="M4" s="4" t="s">
        <v>3</v>
      </c>
      <c r="N4" s="4" t="s">
        <v>4</v>
      </c>
      <c r="O4" s="4" t="s">
        <v>5</v>
      </c>
      <c r="P4" s="5" t="s">
        <v>7</v>
      </c>
      <c r="Q4" s="2"/>
    </row>
    <row r="5" spans="1:17" x14ac:dyDescent="0.25">
      <c r="A5" s="4" t="s">
        <v>10</v>
      </c>
      <c r="B5" s="4">
        <v>10</v>
      </c>
      <c r="C5" s="4">
        <v>12</v>
      </c>
      <c r="D5" s="4">
        <v>10</v>
      </c>
      <c r="E5" s="4">
        <v>12</v>
      </c>
      <c r="F5" s="4">
        <v>14</v>
      </c>
      <c r="G5" s="4">
        <v>200</v>
      </c>
      <c r="J5" s="8"/>
      <c r="K5" s="4" t="s">
        <v>8</v>
      </c>
      <c r="L5" s="4">
        <v>0</v>
      </c>
      <c r="M5" s="4">
        <v>0</v>
      </c>
      <c r="N5" s="4">
        <v>60</v>
      </c>
      <c r="O5" s="4">
        <v>0</v>
      </c>
      <c r="P5" s="4">
        <v>40</v>
      </c>
      <c r="Q5" s="4">
        <v>100</v>
      </c>
    </row>
    <row r="6" spans="1:17" x14ac:dyDescent="0.25">
      <c r="A6" s="4" t="s">
        <v>11</v>
      </c>
      <c r="B6" s="4">
        <v>50</v>
      </c>
      <c r="C6" s="4">
        <v>200</v>
      </c>
      <c r="D6" s="4">
        <v>60</v>
      </c>
      <c r="E6" s="4">
        <v>100</v>
      </c>
      <c r="F6" s="4">
        <v>40</v>
      </c>
      <c r="G6" s="4"/>
      <c r="J6" s="8"/>
      <c r="K6" s="4" t="s">
        <v>9</v>
      </c>
      <c r="L6" s="4">
        <v>0</v>
      </c>
      <c r="M6" s="4">
        <v>50</v>
      </c>
      <c r="N6" s="4">
        <v>0</v>
      </c>
      <c r="O6" s="4">
        <v>100</v>
      </c>
      <c r="P6" s="4">
        <v>0</v>
      </c>
      <c r="Q6" s="4">
        <v>150</v>
      </c>
    </row>
    <row r="7" spans="1:17" x14ac:dyDescent="0.25">
      <c r="K7" s="4" t="s">
        <v>10</v>
      </c>
      <c r="L7" s="4">
        <v>50</v>
      </c>
      <c r="M7" s="4">
        <v>150</v>
      </c>
      <c r="N7" s="4">
        <v>0</v>
      </c>
      <c r="O7" s="4">
        <v>0</v>
      </c>
      <c r="P7" s="4">
        <v>0</v>
      </c>
      <c r="Q7" s="4">
        <v>200</v>
      </c>
    </row>
    <row r="8" spans="1:17" x14ac:dyDescent="0.25">
      <c r="K8" s="4" t="s">
        <v>11</v>
      </c>
      <c r="L8" s="4">
        <v>50</v>
      </c>
      <c r="M8" s="4">
        <v>200</v>
      </c>
      <c r="N8" s="4">
        <v>60</v>
      </c>
      <c r="O8" s="4">
        <v>100</v>
      </c>
      <c r="P8" s="4">
        <v>40</v>
      </c>
      <c r="Q8" s="4"/>
    </row>
    <row r="10" spans="1:17" x14ac:dyDescent="0.25">
      <c r="A10" s="7" t="s">
        <v>12</v>
      </c>
      <c r="B10" s="7"/>
      <c r="C10" s="7"/>
      <c r="D10" s="7"/>
      <c r="E10" s="7"/>
      <c r="F10" s="7"/>
      <c r="G10" s="7"/>
      <c r="K10" s="1" t="s">
        <v>14</v>
      </c>
      <c r="L10" s="1"/>
      <c r="M10" s="1"/>
      <c r="N10" t="s">
        <v>15</v>
      </c>
      <c r="O10" s="9">
        <v>4540</v>
      </c>
    </row>
    <row r="11" spans="1:17" x14ac:dyDescent="0.25">
      <c r="A11" s="2" t="s">
        <v>0</v>
      </c>
      <c r="B11" s="3" t="s">
        <v>1</v>
      </c>
      <c r="C11" s="3"/>
      <c r="D11" s="3"/>
      <c r="E11" s="3"/>
      <c r="F11" s="3"/>
      <c r="G11" s="2" t="s">
        <v>6</v>
      </c>
      <c r="K11" s="11"/>
      <c r="L11" s="11"/>
    </row>
    <row r="12" spans="1:17" x14ac:dyDescent="0.25">
      <c r="A12" s="2"/>
      <c r="B12" s="4" t="s">
        <v>2</v>
      </c>
      <c r="C12" s="4" t="s">
        <v>3</v>
      </c>
      <c r="D12" s="4" t="s">
        <v>4</v>
      </c>
      <c r="E12" s="4" t="s">
        <v>5</v>
      </c>
      <c r="F12" s="5" t="s">
        <v>7</v>
      </c>
      <c r="G12" s="2"/>
      <c r="K12" s="8"/>
      <c r="L12" s="8"/>
      <c r="M12" s="3" t="s">
        <v>24</v>
      </c>
      <c r="N12" s="3"/>
    </row>
    <row r="13" spans="1:17" x14ac:dyDescent="0.25">
      <c r="A13" s="4" t="s">
        <v>8</v>
      </c>
      <c r="B13" s="4">
        <v>50</v>
      </c>
      <c r="C13" s="4">
        <v>50</v>
      </c>
      <c r="D13" s="4">
        <v>0</v>
      </c>
      <c r="E13" s="4">
        <v>0</v>
      </c>
      <c r="F13" s="4">
        <v>0</v>
      </c>
      <c r="G13" s="4">
        <v>100</v>
      </c>
      <c r="K13" s="8"/>
      <c r="L13" s="8"/>
      <c r="M13" s="4" t="s">
        <v>8</v>
      </c>
      <c r="N13" s="4">
        <f>60*7+40*8</f>
        <v>740</v>
      </c>
    </row>
    <row r="14" spans="1:17" x14ac:dyDescent="0.25">
      <c r="A14" s="4" t="s">
        <v>9</v>
      </c>
      <c r="B14" s="4">
        <v>0</v>
      </c>
      <c r="C14" s="4">
        <v>150</v>
      </c>
      <c r="D14" s="4">
        <v>0</v>
      </c>
      <c r="E14" s="4">
        <v>0</v>
      </c>
      <c r="F14" s="4">
        <v>0</v>
      </c>
      <c r="G14" s="4">
        <v>150</v>
      </c>
      <c r="K14" s="8"/>
      <c r="L14" s="8"/>
      <c r="M14" s="4" t="s">
        <v>9</v>
      </c>
      <c r="N14" s="4">
        <f>50*12+100*9</f>
        <v>1500</v>
      </c>
    </row>
    <row r="15" spans="1:17" x14ac:dyDescent="0.25">
      <c r="A15" s="4" t="s">
        <v>10</v>
      </c>
      <c r="B15" s="4">
        <v>0</v>
      </c>
      <c r="C15" s="4">
        <v>0</v>
      </c>
      <c r="D15" s="4">
        <v>60</v>
      </c>
      <c r="E15" s="4">
        <v>100</v>
      </c>
      <c r="F15" s="4">
        <v>40</v>
      </c>
      <c r="G15" s="4">
        <v>200</v>
      </c>
      <c r="M15" s="4" t="s">
        <v>10</v>
      </c>
      <c r="N15" s="4">
        <f>50*10+150*12</f>
        <v>2300</v>
      </c>
    </row>
    <row r="16" spans="1:17" x14ac:dyDescent="0.25">
      <c r="A16" s="4" t="s">
        <v>11</v>
      </c>
      <c r="B16" s="4">
        <v>50</v>
      </c>
      <c r="C16" s="4">
        <v>200</v>
      </c>
      <c r="D16" s="4">
        <v>60</v>
      </c>
      <c r="E16" s="4">
        <v>100</v>
      </c>
      <c r="F16" s="4">
        <v>40</v>
      </c>
      <c r="G16" s="4"/>
    </row>
    <row r="18" spans="1:4" x14ac:dyDescent="0.25">
      <c r="A18" s="1" t="s">
        <v>13</v>
      </c>
      <c r="B18" s="1"/>
      <c r="C18" s="1"/>
      <c r="D18" s="12">
        <f>50*10+50*12+150*12+60*10+100*12+40*14</f>
        <v>5260</v>
      </c>
    </row>
    <row r="21" spans="1:4" x14ac:dyDescent="0.25">
      <c r="A21" s="1" t="s">
        <v>25</v>
      </c>
      <c r="B21" s="1"/>
    </row>
    <row r="22" spans="1:4" x14ac:dyDescent="0.25">
      <c r="A22" s="14" t="s">
        <v>27</v>
      </c>
      <c r="B22" s="1"/>
    </row>
    <row r="30" spans="1:4" x14ac:dyDescent="0.25">
      <c r="A30" s="1" t="s">
        <v>26</v>
      </c>
      <c r="B30" s="1"/>
    </row>
    <row r="35" spans="1:10" x14ac:dyDescent="0.25">
      <c r="A35" s="1" t="s">
        <v>28</v>
      </c>
      <c r="B35" s="1"/>
      <c r="C35" s="1"/>
      <c r="D35" s="1"/>
      <c r="E35" s="1"/>
      <c r="F35" s="1"/>
      <c r="G35" s="1"/>
      <c r="H35" s="1"/>
      <c r="I35" s="1"/>
      <c r="J35" s="1"/>
    </row>
    <row r="38" spans="1:10" x14ac:dyDescent="0.25">
      <c r="A38" t="s">
        <v>29</v>
      </c>
    </row>
    <row r="39" spans="1:10" x14ac:dyDescent="0.25">
      <c r="A39" s="15" t="s">
        <v>30</v>
      </c>
      <c r="B39" s="15"/>
      <c r="C39" s="17" t="s">
        <v>15</v>
      </c>
      <c r="D39" s="17">
        <v>7</v>
      </c>
    </row>
    <row r="40" spans="1:10" x14ac:dyDescent="0.25">
      <c r="A40" s="1" t="s">
        <v>31</v>
      </c>
      <c r="B40" s="1"/>
    </row>
    <row r="54" spans="1:4" x14ac:dyDescent="0.25">
      <c r="A54" s="16" t="s">
        <v>32</v>
      </c>
      <c r="B54" s="16"/>
      <c r="C54" s="16"/>
      <c r="D54" s="16"/>
    </row>
  </sheetData>
  <mergeCells count="21">
    <mergeCell ref="A35:J35"/>
    <mergeCell ref="A39:B39"/>
    <mergeCell ref="A54:D54"/>
    <mergeCell ref="A40:B40"/>
    <mergeCell ref="M12:N12"/>
    <mergeCell ref="Q3:Q4"/>
    <mergeCell ref="K2:Q2"/>
    <mergeCell ref="K10:M10"/>
    <mergeCell ref="A21:B21"/>
    <mergeCell ref="A30:B30"/>
    <mergeCell ref="A22:B22"/>
    <mergeCell ref="A18:C18"/>
    <mergeCell ref="K3:K4"/>
    <mergeCell ref="L3:P3"/>
    <mergeCell ref="A1:A2"/>
    <mergeCell ref="B1:F1"/>
    <mergeCell ref="G1:G2"/>
    <mergeCell ref="A11:A12"/>
    <mergeCell ref="B11:F11"/>
    <mergeCell ref="G11:G12"/>
    <mergeCell ref="A10:G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53E9-7999-4EC5-9840-C515951AC93C}">
  <dimension ref="A1:M13"/>
  <sheetViews>
    <sheetView workbookViewId="0">
      <selection activeCell="A10" sqref="A10:B10"/>
    </sheetView>
  </sheetViews>
  <sheetFormatPr defaultRowHeight="15" x14ac:dyDescent="0.25"/>
  <cols>
    <col min="10" max="10" width="9" customWidth="1"/>
  </cols>
  <sheetData>
    <row r="1" spans="1:13" x14ac:dyDescent="0.25">
      <c r="A1" s="2" t="s">
        <v>0</v>
      </c>
      <c r="B1" s="3" t="s">
        <v>1</v>
      </c>
      <c r="C1" s="3"/>
      <c r="D1" s="3"/>
      <c r="E1" s="3"/>
      <c r="F1" s="3"/>
      <c r="G1" s="2" t="s">
        <v>6</v>
      </c>
      <c r="I1" s="8"/>
      <c r="J1" s="8"/>
    </row>
    <row r="2" spans="1:13" x14ac:dyDescent="0.25">
      <c r="A2" s="2"/>
      <c r="B2" s="4" t="s">
        <v>2</v>
      </c>
      <c r="C2" s="4" t="s">
        <v>3</v>
      </c>
      <c r="D2" s="4" t="s">
        <v>4</v>
      </c>
      <c r="E2" s="4" t="s">
        <v>5</v>
      </c>
      <c r="F2" s="5" t="s">
        <v>7</v>
      </c>
      <c r="G2" s="2"/>
      <c r="I2" s="8"/>
      <c r="J2" s="8"/>
    </row>
    <row r="3" spans="1:13" x14ac:dyDescent="0.25">
      <c r="A3" s="4" t="s">
        <v>8</v>
      </c>
      <c r="B3" s="4">
        <v>0</v>
      </c>
      <c r="C3" s="4">
        <v>0</v>
      </c>
      <c r="D3" s="4">
        <v>60</v>
      </c>
      <c r="E3" s="4">
        <v>40</v>
      </c>
      <c r="F3" s="4">
        <v>0</v>
      </c>
      <c r="G3" s="4">
        <v>100</v>
      </c>
      <c r="I3" s="8"/>
      <c r="J3" s="8"/>
    </row>
    <row r="4" spans="1:13" x14ac:dyDescent="0.25">
      <c r="A4" s="4" t="s">
        <v>9</v>
      </c>
      <c r="B4" s="4">
        <v>0</v>
      </c>
      <c r="C4" s="4">
        <v>50</v>
      </c>
      <c r="D4" s="4">
        <v>0</v>
      </c>
      <c r="E4" s="4">
        <v>60</v>
      </c>
      <c r="F4" s="4">
        <v>40</v>
      </c>
      <c r="G4" s="4">
        <v>150</v>
      </c>
    </row>
    <row r="5" spans="1:13" x14ac:dyDescent="0.25">
      <c r="A5" s="4" t="s">
        <v>10</v>
      </c>
      <c r="B5" s="4">
        <v>50</v>
      </c>
      <c r="C5" s="4">
        <v>150</v>
      </c>
      <c r="D5" s="4">
        <v>0</v>
      </c>
      <c r="E5" s="4">
        <v>0</v>
      </c>
      <c r="F5" s="4">
        <v>0</v>
      </c>
      <c r="G5" s="4">
        <v>200</v>
      </c>
    </row>
    <row r="6" spans="1:13" x14ac:dyDescent="0.25">
      <c r="A6" s="4" t="s">
        <v>11</v>
      </c>
      <c r="B6" s="4">
        <v>50</v>
      </c>
      <c r="C6" s="4">
        <v>200</v>
      </c>
      <c r="D6" s="4">
        <v>60</v>
      </c>
      <c r="E6" s="4">
        <v>100</v>
      </c>
      <c r="F6" s="4">
        <v>40</v>
      </c>
      <c r="G6" s="4"/>
      <c r="I6" s="1" t="s">
        <v>17</v>
      </c>
      <c r="J6" s="1"/>
    </row>
    <row r="7" spans="1:13" x14ac:dyDescent="0.25">
      <c r="I7" t="s">
        <v>2</v>
      </c>
      <c r="J7" s="1" t="s">
        <v>19</v>
      </c>
      <c r="K7" s="1"/>
      <c r="L7" s="1"/>
      <c r="M7">
        <v>50</v>
      </c>
    </row>
    <row r="8" spans="1:13" x14ac:dyDescent="0.25">
      <c r="A8" s="1" t="s">
        <v>14</v>
      </c>
      <c r="B8" s="1"/>
      <c r="C8" s="1"/>
      <c r="D8" t="s">
        <v>15</v>
      </c>
      <c r="E8" s="9">
        <f>B11+B12+B13</f>
        <v>4620</v>
      </c>
      <c r="G8" s="8"/>
      <c r="H8" s="8"/>
      <c r="I8" t="s">
        <v>3</v>
      </c>
      <c r="J8" s="1" t="s">
        <v>18</v>
      </c>
      <c r="K8" s="1"/>
      <c r="L8" s="1"/>
      <c r="M8">
        <v>200</v>
      </c>
    </row>
    <row r="9" spans="1:13" x14ac:dyDescent="0.25">
      <c r="A9" s="8"/>
      <c r="B9" s="8"/>
      <c r="G9" s="8"/>
      <c r="H9" s="8"/>
      <c r="I9" t="s">
        <v>4</v>
      </c>
      <c r="J9" s="1" t="s">
        <v>20</v>
      </c>
      <c r="K9" s="1"/>
      <c r="L9" s="1"/>
      <c r="M9">
        <v>60</v>
      </c>
    </row>
    <row r="10" spans="1:13" x14ac:dyDescent="0.25">
      <c r="A10" s="6" t="s">
        <v>24</v>
      </c>
      <c r="B10" s="6"/>
      <c r="G10" s="8"/>
      <c r="H10" s="8"/>
      <c r="I10" t="s">
        <v>5</v>
      </c>
      <c r="J10" s="1" t="s">
        <v>21</v>
      </c>
      <c r="K10" s="1"/>
      <c r="L10" s="1"/>
      <c r="M10">
        <v>100</v>
      </c>
    </row>
    <row r="11" spans="1:13" x14ac:dyDescent="0.25">
      <c r="A11" s="4" t="s">
        <v>8</v>
      </c>
      <c r="B11" s="4">
        <f>60*7+40*7</f>
        <v>700</v>
      </c>
      <c r="I11" t="s">
        <v>7</v>
      </c>
      <c r="J11" s="1" t="s">
        <v>22</v>
      </c>
      <c r="K11" s="1"/>
      <c r="L11" s="1"/>
      <c r="M11">
        <v>40</v>
      </c>
    </row>
    <row r="12" spans="1:13" x14ac:dyDescent="0.25">
      <c r="A12" s="4" t="s">
        <v>9</v>
      </c>
      <c r="B12" s="4">
        <f>50*12+60*9+40*12</f>
        <v>1620</v>
      </c>
      <c r="I12" s="13" t="s">
        <v>23</v>
      </c>
      <c r="J12" s="13"/>
      <c r="K12" s="13"/>
      <c r="L12" s="13"/>
      <c r="M12" s="13"/>
    </row>
    <row r="13" spans="1:13" x14ac:dyDescent="0.25">
      <c r="A13" s="4" t="s">
        <v>10</v>
      </c>
      <c r="B13" s="4">
        <f>50*10+150*12</f>
        <v>2300</v>
      </c>
    </row>
  </sheetData>
  <mergeCells count="12">
    <mergeCell ref="J9:L9"/>
    <mergeCell ref="J10:L10"/>
    <mergeCell ref="J11:L11"/>
    <mergeCell ref="I12:M12"/>
    <mergeCell ref="A10:B10"/>
    <mergeCell ref="A1:A2"/>
    <mergeCell ref="B1:F1"/>
    <mergeCell ref="G1:G2"/>
    <mergeCell ref="A8:C8"/>
    <mergeCell ref="I6:J6"/>
    <mergeCell ref="J8:L8"/>
    <mergeCell ref="J7:L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Метод_потенциалов</vt:lpstr>
      <vt:lpstr>Поиск_решения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каб54</cp:lastModifiedBy>
  <dcterms:created xsi:type="dcterms:W3CDTF">2026-02-13T06:58:06Z</dcterms:created>
  <dcterms:modified xsi:type="dcterms:W3CDTF">2026-02-13T08:20:27Z</dcterms:modified>
</cp:coreProperties>
</file>