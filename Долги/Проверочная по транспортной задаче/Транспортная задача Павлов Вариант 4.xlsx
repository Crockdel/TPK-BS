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-40\Мат моделир\"/>
    </mc:Choice>
  </mc:AlternateContent>
  <xr:revisionPtr revIDLastSave="0" documentId="13_ncr:1_{F887FE8B-AE0F-4790-9D08-EF6AEC264D6C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Мат. модель" sheetId="1" r:id="rId1"/>
    <sheet name="Поиск решения" sheetId="2" r:id="rId2"/>
  </sheets>
  <definedNames>
    <definedName name="solver_adj" localSheetId="1" hidden="1">'Поиск решения'!$B$11:$F$13</definedName>
    <definedName name="solver_cvg" localSheetId="1" hidden="1">0.0001</definedName>
    <definedName name="solver_drv" localSheetId="1" hidden="1">2</definedName>
    <definedName name="solver_eng" localSheetId="0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'Поиск решения'!$B$11:$F$13</definedName>
    <definedName name="solver_lhs2" localSheetId="1" hidden="1">'Поиск решения'!$B$14:$F$14</definedName>
    <definedName name="solver_lhs3" localSheetId="1" hidden="1">'Поиск решения'!$G$11:$G$13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3</definedName>
    <definedName name="solver_nwt" localSheetId="1" hidden="1">1</definedName>
    <definedName name="solver_opt" localSheetId="0" hidden="1">'Мат. модель'!$B$35</definedName>
    <definedName name="solver_opt" localSheetId="1" hidden="1">'Поиск решения'!$B$16</definedName>
    <definedName name="solver_pre" localSheetId="1" hidden="1">0.000001</definedName>
    <definedName name="solver_rbv" localSheetId="1" hidden="1">2</definedName>
    <definedName name="solver_rel1" localSheetId="1" hidden="1">4</definedName>
    <definedName name="solver_rel2" localSheetId="1" hidden="1">2</definedName>
    <definedName name="solver_rel3" localSheetId="1" hidden="1">2</definedName>
    <definedName name="solver_rhs1" localSheetId="1" hidden="1">"целое"</definedName>
    <definedName name="solver_rhs2" localSheetId="1" hidden="1">'Поиск решения'!$B$6:$F$6</definedName>
    <definedName name="solver_rhs3" localSheetId="1" hidden="1">'Поиск решения'!$G$3:$G$5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G13" i="2"/>
  <c r="G12" i="2"/>
  <c r="G11" i="2"/>
  <c r="F14" i="2"/>
  <c r="E14" i="2"/>
  <c r="D14" i="2"/>
  <c r="C14" i="2"/>
  <c r="B14" i="2"/>
  <c r="H6" i="1"/>
  <c r="G7" i="1"/>
</calcChain>
</file>

<file path=xl/sharedStrings.xml><?xml version="1.0" encoding="utf-8"?>
<sst xmlns="http://schemas.openxmlformats.org/spreadsheetml/2006/main" count="45" uniqueCount="21">
  <si>
    <t>Поставщики</t>
  </si>
  <si>
    <t>Потребители</t>
  </si>
  <si>
    <t>Запасы</t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</si>
  <si>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</si>
  <si>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</si>
  <si>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</si>
  <si>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</si>
  <si>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</si>
  <si>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</si>
  <si>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</si>
  <si>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</si>
  <si>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Потребности</t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</si>
  <si>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 xml:space="preserve"> - Самара</t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</si>
  <si>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- Москва</t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</si>
  <si>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 xml:space="preserve"> - Ростов</t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</si>
  <si>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 xml:space="preserve"> - Петербург</t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</si>
  <si>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scheme val="minor"/>
      </rPr>
      <t xml:space="preserve"> - Нижний Новгорода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</si>
  <si>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 xml:space="preserve"> - Мирное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</si>
  <si>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- Удачный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</si>
  <si>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 xml:space="preserve"> - Полевое</t>
    </r>
  </si>
  <si>
    <t xml:space="preserve">F(X)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</si>
</sst>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231743</xdr:colOff>
      <xdr:row>7</xdr:row>
      <xdr:rowOff>13176</xdr:rowOff>
    </xdr:from>
    <xdr:ext cx="2249718" cy="16210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AC2487D-7EDB-AF11-FDDE-9BF031EFC5D7}"/>
                </a:ext>
              </a:extLst>
            </xdr:cNvPr>
            <xdr:cNvSpPr txBox="1"/>
          </xdr:nvSpPr>
          <xdr:spPr>
            <a:xfrm>
              <a:off x="231743" y="1537176"/>
              <a:ext cx="2249718" cy="1621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=200;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=2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=2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80;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260;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33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34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140;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35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120;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𝑖𝑗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≥0;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</m:t>
                            </m:r>
                            <m:bar>
                              <m:barPr>
                                <m:pos m:val="top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1,3</m:t>
                                </m:r>
                              </m:e>
                            </m:ba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 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𝑗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=</m:t>
                            </m:r>
                            <m:bar>
                              <m:barPr>
                                <m:pos m:val="top"/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bar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1,5</m:t>
                                </m:r>
                              </m:e>
                            </m:ba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AC2487D-7EDB-AF11-FDDE-9BF031EFC5D7}"/>
                </a:ext>
              </a:extLst>
            </xdr:cNvPr>
            <xdr:cNvSpPr txBox="1"/>
          </xdr:nvSpPr>
          <xdr:spPr>
            <a:xfrm>
              <a:off x="231743" y="1537176"/>
              <a:ext cx="2249718" cy="1621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5=200;@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5=2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5=2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11+𝑥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80;@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260;@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13+𝑥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23+𝑥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33=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100;@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14+𝑥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24+𝑥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34=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140;@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15+𝑥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25+𝑥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35=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120;@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𝑥_𝑖𝑗≥0;𝑖=¯1,3    𝑗=¯1,5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98901</xdr:rowOff>
    </xdr:from>
    <xdr:ext cx="4447500" cy="5507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D7945E7-5FC4-8EDF-8578-8EE1B3C721B1}"/>
                </a:ext>
              </a:extLst>
            </xdr:cNvPr>
            <xdr:cNvSpPr txBox="1"/>
          </xdr:nvSpPr>
          <xdr:spPr>
            <a:xfrm>
              <a:off x="0" y="3337401"/>
              <a:ext cx="4447500" cy="5507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𝐹</m:t>
                    </m:r>
                    <m:bar>
                      <m:barPr>
                        <m:pos m:val="top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barPr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𝑋</m:t>
                            </m:r>
                          </m:e>
                        </m:d>
                      </m:e>
                    </m:ba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7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11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9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12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15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13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4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4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18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5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13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+2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22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</m:oMath>
                </m:oMathPara>
              </a14:m>
              <a:endParaRPr lang="ru-RU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+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23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15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24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25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31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11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32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33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20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34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12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35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𝑚𝑖𝑛</m:t>
                    </m:r>
                  </m:oMath>
                </m:oMathPara>
              </a14:m>
              <a:endParaRPr lang="ru-RU">
                <a:effectLst/>
              </a:endParaRP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D7945E7-5FC4-8EDF-8578-8EE1B3C721B1}"/>
                </a:ext>
              </a:extLst>
            </xdr:cNvPr>
            <xdr:cNvSpPr txBox="1"/>
          </xdr:nvSpPr>
          <xdr:spPr>
            <a:xfrm>
              <a:off x="0" y="3337401"/>
              <a:ext cx="4447500" cy="5507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𝐹¯((𝑋) 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𝑥_11+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𝑥_12+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𝑥_13+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22+</a:t>
              </a:r>
              <a:endParaRPr lang="ru-RU">
                <a:effectLst/>
              </a:endParaRPr>
            </a:p>
            <a:p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+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8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34+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35→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𝑚𝑖𝑛</a:t>
              </a:r>
              <a:endParaRPr lang="ru-RU">
                <a:effectLst/>
              </a:endParaRPr>
            </a:p>
            <a:p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D37" sqref="D37"/>
    </sheetView>
  </sheetViews>
  <sheetFormatPr defaultRowHeight="15" x14ac:dyDescent="0.25"/>
  <cols>
    <col min="1" max="1" width="12.85546875" bestFit="1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 t="s">
        <v>2</v>
      </c>
    </row>
    <row r="2" spans="1:11" ht="18" x14ac:dyDescent="0.35">
      <c r="A2" s="1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1"/>
      <c r="I2" t="s">
        <v>17</v>
      </c>
      <c r="K2" t="s">
        <v>12</v>
      </c>
    </row>
    <row r="3" spans="1:11" ht="18" x14ac:dyDescent="0.35">
      <c r="A3" s="2" t="s">
        <v>8</v>
      </c>
      <c r="B3" s="2">
        <v>7</v>
      </c>
      <c r="C3" s="2">
        <v>9</v>
      </c>
      <c r="D3" s="2">
        <v>15</v>
      </c>
      <c r="E3" s="2">
        <v>4</v>
      </c>
      <c r="F3" s="2">
        <v>18</v>
      </c>
      <c r="G3" s="2">
        <v>200</v>
      </c>
      <c r="I3" t="s">
        <v>18</v>
      </c>
      <c r="K3" t="s">
        <v>13</v>
      </c>
    </row>
    <row r="4" spans="1:11" ht="18" x14ac:dyDescent="0.35">
      <c r="A4" s="2" t="s">
        <v>9</v>
      </c>
      <c r="B4" s="2">
        <v>13</v>
      </c>
      <c r="C4" s="2">
        <v>25</v>
      </c>
      <c r="D4" s="2">
        <v>8</v>
      </c>
      <c r="E4" s="2">
        <v>15</v>
      </c>
      <c r="F4" s="2">
        <v>5</v>
      </c>
      <c r="G4" s="2">
        <v>250</v>
      </c>
      <c r="I4" t="s">
        <v>19</v>
      </c>
      <c r="K4" t="s">
        <v>14</v>
      </c>
    </row>
    <row r="5" spans="1:11" ht="18" x14ac:dyDescent="0.35">
      <c r="A5" s="2" t="s">
        <v>10</v>
      </c>
      <c r="B5" s="2">
        <v>5</v>
      </c>
      <c r="C5" s="2">
        <v>11</v>
      </c>
      <c r="D5" s="2">
        <v>6</v>
      </c>
      <c r="E5" s="2">
        <v>20</v>
      </c>
      <c r="F5" s="2">
        <v>12</v>
      </c>
      <c r="G5" s="2">
        <v>250</v>
      </c>
      <c r="K5" t="s">
        <v>15</v>
      </c>
    </row>
    <row r="6" spans="1:11" ht="18" x14ac:dyDescent="0.35">
      <c r="A6" s="2" t="s">
        <v>11</v>
      </c>
      <c r="B6" s="2">
        <v>80</v>
      </c>
      <c r="C6" s="2">
        <v>260</v>
      </c>
      <c r="D6" s="2">
        <v>100</v>
      </c>
      <c r="E6" s="2">
        <v>140</v>
      </c>
      <c r="F6" s="2">
        <v>120</v>
      </c>
      <c r="G6" s="2"/>
      <c r="H6">
        <f>SUM(B6:F6)</f>
        <v>700</v>
      </c>
      <c r="K6" t="s">
        <v>16</v>
      </c>
    </row>
    <row r="7" spans="1:11" x14ac:dyDescent="0.25">
      <c r="G7">
        <f>SUM(G3:G5)</f>
        <v>700</v>
      </c>
    </row>
  </sheetData>
  <mergeCells count="3">
    <mergeCell ref="B1:F1"/>
    <mergeCell ref="A1:A2"/>
    <mergeCell ref="G1:G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91A6-C7DA-4143-B41C-3E7F5A1F6CB4}">
  <dimension ref="A1:O16"/>
  <sheetViews>
    <sheetView tabSelected="1" workbookViewId="0">
      <selection activeCell="B16" sqref="B16"/>
    </sheetView>
  </sheetViews>
  <sheetFormatPr defaultRowHeight="15" x14ac:dyDescent="0.25"/>
  <cols>
    <col min="1" max="1" width="12.85546875" bestFit="1" customWidth="1"/>
    <col min="7" max="7" width="17.28515625" bestFit="1" customWidth="1"/>
  </cols>
  <sheetData>
    <row r="1" spans="1:15" x14ac:dyDescent="0.25">
      <c r="A1" s="1" t="s">
        <v>0</v>
      </c>
      <c r="B1" s="1" t="s">
        <v>1</v>
      </c>
      <c r="C1" s="1"/>
      <c r="D1" s="1"/>
      <c r="E1" s="1"/>
      <c r="F1" s="1"/>
      <c r="G1" s="1" t="s">
        <v>2</v>
      </c>
    </row>
    <row r="2" spans="1:15" ht="18" x14ac:dyDescent="0.25">
      <c r="A2" s="1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1"/>
    </row>
    <row r="3" spans="1:15" ht="18" x14ac:dyDescent="0.25">
      <c r="A3" s="2" t="s">
        <v>8</v>
      </c>
      <c r="B3" s="2">
        <v>7</v>
      </c>
      <c r="C3" s="2">
        <v>9</v>
      </c>
      <c r="D3" s="2">
        <v>15</v>
      </c>
      <c r="E3" s="2">
        <v>4</v>
      </c>
      <c r="F3" s="2">
        <v>18</v>
      </c>
      <c r="G3" s="2">
        <v>200</v>
      </c>
    </row>
    <row r="4" spans="1:15" ht="18" x14ac:dyDescent="0.25">
      <c r="A4" s="2" t="s">
        <v>9</v>
      </c>
      <c r="B4" s="2">
        <v>13</v>
      </c>
      <c r="C4" s="2">
        <v>25</v>
      </c>
      <c r="D4" s="2">
        <v>8</v>
      </c>
      <c r="E4" s="2">
        <v>15</v>
      </c>
      <c r="F4" s="2">
        <v>5</v>
      </c>
      <c r="G4" s="2">
        <v>250</v>
      </c>
    </row>
    <row r="5" spans="1:15" ht="18" x14ac:dyDescent="0.25">
      <c r="A5" s="2" t="s">
        <v>10</v>
      </c>
      <c r="B5" s="2">
        <v>5</v>
      </c>
      <c r="C5" s="2">
        <v>11</v>
      </c>
      <c r="D5" s="2">
        <v>6</v>
      </c>
      <c r="E5" s="2">
        <v>20</v>
      </c>
      <c r="F5" s="2">
        <v>12</v>
      </c>
      <c r="G5" s="2">
        <v>250</v>
      </c>
    </row>
    <row r="6" spans="1:15" x14ac:dyDescent="0.25">
      <c r="A6" s="2" t="s">
        <v>11</v>
      </c>
      <c r="B6" s="2">
        <v>80</v>
      </c>
      <c r="C6" s="2">
        <v>260</v>
      </c>
      <c r="D6" s="2">
        <v>100</v>
      </c>
      <c r="E6" s="2">
        <v>140</v>
      </c>
      <c r="F6" s="2">
        <v>120</v>
      </c>
      <c r="G6" s="2"/>
    </row>
    <row r="7" spans="1:15" x14ac:dyDescent="0.25">
      <c r="A7" s="3"/>
      <c r="B7" s="3"/>
      <c r="C7" s="3"/>
      <c r="D7" s="3"/>
      <c r="E7" s="3"/>
      <c r="F7" s="3"/>
      <c r="G7" s="3"/>
    </row>
    <row r="8" spans="1:15" x14ac:dyDescent="0.25">
      <c r="A8" s="3"/>
      <c r="B8" s="3"/>
      <c r="C8" s="3"/>
      <c r="D8" s="3"/>
      <c r="E8" s="3"/>
      <c r="F8" s="3"/>
      <c r="G8" s="3"/>
    </row>
    <row r="9" spans="1:15" x14ac:dyDescent="0.25">
      <c r="A9" s="1" t="s">
        <v>0</v>
      </c>
      <c r="B9" s="1" t="s">
        <v>1</v>
      </c>
      <c r="C9" s="1"/>
      <c r="D9" s="1"/>
      <c r="E9" s="1"/>
      <c r="F9" s="1"/>
      <c r="G9" s="1" t="s">
        <v>2</v>
      </c>
      <c r="K9" s="5"/>
      <c r="L9" s="5"/>
      <c r="M9" s="5"/>
      <c r="N9" s="5"/>
      <c r="O9" s="5"/>
    </row>
    <row r="10" spans="1:15" ht="18" x14ac:dyDescent="0.25">
      <c r="A10" s="1"/>
      <c r="B10" s="2" t="s">
        <v>3</v>
      </c>
      <c r="C10" s="2" t="s">
        <v>4</v>
      </c>
      <c r="D10" s="2" t="s">
        <v>5</v>
      </c>
      <c r="E10" s="2" t="s">
        <v>6</v>
      </c>
      <c r="F10" s="2" t="s">
        <v>7</v>
      </c>
      <c r="G10" s="1"/>
      <c r="K10" s="5"/>
      <c r="L10" s="5"/>
      <c r="M10" s="5"/>
      <c r="N10" s="5"/>
      <c r="O10" s="5"/>
    </row>
    <row r="11" spans="1:15" ht="18" x14ac:dyDescent="0.25">
      <c r="A11" s="2" t="s">
        <v>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f>-SUM(B11:F11)</f>
        <v>0</v>
      </c>
      <c r="K11" s="5"/>
      <c r="L11" s="5"/>
      <c r="M11" s="5"/>
      <c r="N11" s="5"/>
      <c r="O11" s="5"/>
    </row>
    <row r="12" spans="1:15" ht="18" x14ac:dyDescent="0.25">
      <c r="A12" s="2" t="s">
        <v>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f>-SUM(B12:F12)</f>
        <v>0</v>
      </c>
    </row>
    <row r="13" spans="1:15" ht="18" x14ac:dyDescent="0.25">
      <c r="A13" s="2" t="s">
        <v>10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f>-SUM(B13:F13)</f>
        <v>0</v>
      </c>
    </row>
    <row r="14" spans="1:15" x14ac:dyDescent="0.25">
      <c r="A14" s="2" t="s">
        <v>11</v>
      </c>
      <c r="B14" s="2">
        <f>SUM(B11:B13)</f>
        <v>0</v>
      </c>
      <c r="C14" s="2">
        <f>SUM(C11:C13)</f>
        <v>0</v>
      </c>
      <c r="D14" s="2">
        <f>SUM(D11:D13)</f>
        <v>0</v>
      </c>
      <c r="E14" s="2">
        <f>SUM(E11:E13)</f>
        <v>0</v>
      </c>
      <c r="F14" s="2">
        <f>SUM(F11:F13)</f>
        <v>0</v>
      </c>
      <c r="G14" s="2"/>
    </row>
    <row r="16" spans="1:15" x14ac:dyDescent="0.25">
      <c r="A16" s="4" t="s">
        <v>20</v>
      </c>
      <c r="B16">
        <f>SUMPRODUCT(B3:F5,B11:F13)</f>
        <v>0</v>
      </c>
    </row>
  </sheetData>
  <mergeCells count="6">
    <mergeCell ref="A1:A2"/>
    <mergeCell ref="B1:F1"/>
    <mergeCell ref="G1:G2"/>
    <mergeCell ref="A9:A10"/>
    <mergeCell ref="B9:F9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Мат. модель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2026-02-13T08:20:24Z</dcterms:modified>
</cp:coreProperties>
</file>