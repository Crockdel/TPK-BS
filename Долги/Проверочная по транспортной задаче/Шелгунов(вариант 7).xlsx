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транспортной задаче\"/>
    </mc:Choice>
  </mc:AlternateContent>
  <xr:revisionPtr revIDLastSave="0" documentId="13_ncr:1_{FC158377-D83D-4C09-AF25-9D16EC3F9692}" xr6:coauthVersionLast="43" xr6:coauthVersionMax="43" xr10:uidLastSave="{00000000-0000-0000-0000-000000000000}"/>
  <bookViews>
    <workbookView xWindow="-60" yWindow="-60" windowWidth="20610" windowHeight="10980" activeTab="1" xr2:uid="{E05D0D92-6E35-4C25-8A0B-DDD95725B20E}"/>
  </bookViews>
  <sheets>
    <sheet name="Лист1" sheetId="1" r:id="rId1"/>
    <sheet name="Поиск решения" sheetId="2" r:id="rId2"/>
  </sheets>
  <definedNames>
    <definedName name="solver_adj" localSheetId="1" hidden="1">'Поиск решения'!$I$4:$M$6</definedName>
    <definedName name="solver_cvg" localSheetId="1" hidden="1">0.0001</definedName>
    <definedName name="solver_drv" localSheetId="1" hidden="1">2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'Поиск решения'!$I$4:$M$4</definedName>
    <definedName name="solver_lhs2" localSheetId="1" hidden="1">'Поиск решения'!$I$7:$L$7</definedName>
    <definedName name="solver_lhs3" localSheetId="1" hidden="1">'Поиск решения'!$N$4:$N$6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'Поиск решения'!$B$13</definedName>
    <definedName name="solver_pre" localSheetId="1" hidden="1">0.000001</definedName>
    <definedName name="solver_rbv" localSheetId="1" hidden="1">2</definedName>
    <definedName name="solver_rel1" localSheetId="1" hidden="1">4</definedName>
    <definedName name="solver_rel2" localSheetId="1" hidden="1">2</definedName>
    <definedName name="solver_rel3" localSheetId="1" hidden="1">2</definedName>
    <definedName name="solver_rhs1" localSheetId="1" hidden="1">целое</definedName>
    <definedName name="solver_rhs2" localSheetId="1" hidden="1">'Поиск решения'!$B$6:$E$6</definedName>
    <definedName name="solver_rhs3" localSheetId="1" hidden="1">'Поиск решения'!$F$3:$F$5</definedName>
    <definedName name="solver_rlx" localSheetId="1" hidden="1">2</definedName>
    <definedName name="solver_rsd" localSheetId="1" hidden="1">0</definedName>
    <definedName name="solver_scl" localSheetId="1" hidden="1">2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2" l="1"/>
  <c r="J7" i="2"/>
  <c r="K7" i="2"/>
  <c r="L7" i="2"/>
  <c r="M7" i="2"/>
  <c r="I7" i="2"/>
  <c r="N5" i="2"/>
  <c r="N6" i="2"/>
  <c r="N4" i="2"/>
</calcChain>
</file>

<file path=xl/sharedStrings.xml><?xml version="1.0" encoding="utf-8"?>
<sst xmlns="http://schemas.openxmlformats.org/spreadsheetml/2006/main" count="50" uniqueCount="19">
  <si>
    <t>Шахты</t>
  </si>
  <si>
    <t>Потребители</t>
  </si>
  <si>
    <t>А</t>
  </si>
  <si>
    <t>B</t>
  </si>
  <si>
    <t>C</t>
  </si>
  <si>
    <t>Д</t>
  </si>
  <si>
    <t>Добыча угля, тыс. т. в неделю</t>
  </si>
  <si>
    <t>Западная</t>
  </si>
  <si>
    <t>Варгашорская</t>
  </si>
  <si>
    <t>Заявки, тыс. т</t>
  </si>
  <si>
    <t>Комсомольская</t>
  </si>
  <si>
    <t>A</t>
  </si>
  <si>
    <t>Ф</t>
  </si>
  <si>
    <t>Запас</t>
  </si>
  <si>
    <t>Заявки</t>
  </si>
  <si>
    <t>З</t>
  </si>
  <si>
    <t>В</t>
  </si>
  <si>
    <t>К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</si>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</sst>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E2720-3D00-44AB-A147-E4C2BDCC6E2B}">
  <dimension ref="A1:G18"/>
  <sheetViews>
    <sheetView workbookViewId="0">
      <selection activeCell="B12" sqref="B12"/>
    </sheetView>
  </sheetViews>
  <sheetFormatPr defaultRowHeight="15" x14ac:dyDescent="0.25"/>
  <cols>
    <col min="1" max="1" width="15.42578125" bestFit="1" customWidth="1"/>
    <col min="6" max="6" width="18.85546875" customWidth="1"/>
  </cols>
  <sheetData>
    <row r="1" spans="1:7" x14ac:dyDescent="0.25">
      <c r="A1" s="5" t="s">
        <v>0</v>
      </c>
      <c r="B1" s="6" t="s">
        <v>1</v>
      </c>
      <c r="C1" s="6"/>
      <c r="D1" s="6"/>
      <c r="E1" s="6"/>
      <c r="F1" s="7" t="s">
        <v>6</v>
      </c>
    </row>
    <row r="2" spans="1:7" x14ac:dyDescent="0.25">
      <c r="A2" s="5"/>
      <c r="B2" s="2" t="s">
        <v>2</v>
      </c>
      <c r="C2" s="2" t="s">
        <v>3</v>
      </c>
      <c r="D2" s="2" t="s">
        <v>4</v>
      </c>
      <c r="E2" s="2" t="s">
        <v>5</v>
      </c>
      <c r="F2" s="7"/>
    </row>
    <row r="3" spans="1:7" x14ac:dyDescent="0.25">
      <c r="A3" s="3" t="s">
        <v>7</v>
      </c>
      <c r="B3" s="3">
        <v>70</v>
      </c>
      <c r="C3" s="3">
        <v>76</v>
      </c>
      <c r="D3" s="3">
        <v>72</v>
      </c>
      <c r="E3" s="3">
        <v>68</v>
      </c>
      <c r="F3" s="3">
        <v>32</v>
      </c>
    </row>
    <row r="4" spans="1:7" x14ac:dyDescent="0.25">
      <c r="A4" s="3" t="s">
        <v>8</v>
      </c>
      <c r="B4" s="3">
        <v>80</v>
      </c>
      <c r="C4" s="3">
        <v>84</v>
      </c>
      <c r="D4" s="3">
        <v>82</v>
      </c>
      <c r="E4" s="3">
        <v>77</v>
      </c>
      <c r="F4" s="3">
        <v>26</v>
      </c>
    </row>
    <row r="5" spans="1:7" x14ac:dyDescent="0.25">
      <c r="A5" s="3" t="s">
        <v>10</v>
      </c>
      <c r="B5" s="3">
        <v>80</v>
      </c>
      <c r="C5" s="3">
        <v>83</v>
      </c>
      <c r="D5" s="3">
        <v>82</v>
      </c>
      <c r="E5" s="3">
        <v>76</v>
      </c>
      <c r="F5" s="3">
        <v>27</v>
      </c>
    </row>
    <row r="6" spans="1:7" x14ac:dyDescent="0.25">
      <c r="A6" s="3" t="s">
        <v>9</v>
      </c>
      <c r="B6" s="3">
        <v>28</v>
      </c>
      <c r="C6" s="3">
        <v>19</v>
      </c>
      <c r="D6" s="3">
        <v>12</v>
      </c>
      <c r="E6" s="3">
        <v>16</v>
      </c>
      <c r="F6" s="3"/>
    </row>
    <row r="7" spans="1:7" x14ac:dyDescent="0.25">
      <c r="G7" s="1"/>
    </row>
    <row r="14" spans="1:7" x14ac:dyDescent="0.25">
      <c r="A14" s="3"/>
      <c r="B14" s="3" t="s">
        <v>11</v>
      </c>
      <c r="C14" s="3" t="s">
        <v>3</v>
      </c>
      <c r="D14" s="3" t="s">
        <v>4</v>
      </c>
      <c r="E14" s="3" t="s">
        <v>5</v>
      </c>
      <c r="F14" s="3" t="s">
        <v>12</v>
      </c>
      <c r="G14" s="3" t="s">
        <v>13</v>
      </c>
    </row>
    <row r="15" spans="1:7" x14ac:dyDescent="0.25">
      <c r="A15" s="3" t="s">
        <v>7</v>
      </c>
      <c r="B15" s="3">
        <v>70</v>
      </c>
      <c r="C15" s="3">
        <v>76</v>
      </c>
      <c r="D15" s="3">
        <v>72</v>
      </c>
      <c r="E15" s="3">
        <v>68</v>
      </c>
      <c r="F15" s="3">
        <v>0</v>
      </c>
      <c r="G15" s="3">
        <v>32</v>
      </c>
    </row>
    <row r="16" spans="1:7" x14ac:dyDescent="0.25">
      <c r="A16" s="3" t="s">
        <v>8</v>
      </c>
      <c r="B16" s="3">
        <v>80</v>
      </c>
      <c r="C16" s="3">
        <v>84</v>
      </c>
      <c r="D16" s="3">
        <v>82</v>
      </c>
      <c r="E16" s="3">
        <v>77</v>
      </c>
      <c r="F16" s="3">
        <v>0</v>
      </c>
      <c r="G16" s="3">
        <v>26</v>
      </c>
    </row>
    <row r="17" spans="1:7" x14ac:dyDescent="0.25">
      <c r="A17" s="3" t="s">
        <v>10</v>
      </c>
      <c r="B17" s="3">
        <v>80</v>
      </c>
      <c r="C17" s="3">
        <v>83</v>
      </c>
      <c r="D17" s="3">
        <v>82</v>
      </c>
      <c r="E17" s="3">
        <v>76</v>
      </c>
      <c r="F17" s="3">
        <v>0</v>
      </c>
      <c r="G17" s="3">
        <v>27</v>
      </c>
    </row>
    <row r="18" spans="1:7" x14ac:dyDescent="0.25">
      <c r="A18" s="3" t="s">
        <v>14</v>
      </c>
      <c r="B18" s="3">
        <v>28</v>
      </c>
      <c r="C18" s="3">
        <v>19</v>
      </c>
      <c r="D18" s="3">
        <v>12</v>
      </c>
      <c r="E18" s="3">
        <v>16</v>
      </c>
      <c r="F18" s="3">
        <v>10</v>
      </c>
      <c r="G18" s="3">
        <v>85</v>
      </c>
    </row>
  </sheetData>
  <mergeCells count="3">
    <mergeCell ref="A1:A2"/>
    <mergeCell ref="B1:E1"/>
    <mergeCell ref="F1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57D54-05DA-46E7-A2A8-EDDD3350DB67}">
  <dimension ref="A1:N13"/>
  <sheetViews>
    <sheetView tabSelected="1" workbookViewId="0">
      <selection activeCell="C13" sqref="C13"/>
    </sheetView>
  </sheetViews>
  <sheetFormatPr defaultRowHeight="15" x14ac:dyDescent="0.25"/>
  <cols>
    <col min="1" max="1" width="15.42578125" bestFit="1" customWidth="1"/>
    <col min="8" max="8" width="19.7109375" bestFit="1" customWidth="1"/>
  </cols>
  <sheetData>
    <row r="1" spans="1:14" x14ac:dyDescent="0.25">
      <c r="A1" s="5" t="s">
        <v>0</v>
      </c>
      <c r="B1" s="6" t="s">
        <v>1</v>
      </c>
      <c r="C1" s="6"/>
      <c r="D1" s="6"/>
      <c r="E1" s="6"/>
      <c r="F1" s="7" t="s">
        <v>6</v>
      </c>
    </row>
    <row r="2" spans="1:14" x14ac:dyDescent="0.25">
      <c r="A2" s="5"/>
      <c r="B2" s="2" t="s">
        <v>2</v>
      </c>
      <c r="C2" s="2" t="s">
        <v>3</v>
      </c>
      <c r="D2" s="2" t="s">
        <v>4</v>
      </c>
      <c r="E2" s="2" t="s">
        <v>5</v>
      </c>
      <c r="F2" s="7"/>
    </row>
    <row r="3" spans="1:14" x14ac:dyDescent="0.25">
      <c r="A3" s="3" t="s">
        <v>7</v>
      </c>
      <c r="B3" s="3">
        <v>70</v>
      </c>
      <c r="C3" s="3">
        <v>76</v>
      </c>
      <c r="D3" s="3">
        <v>72</v>
      </c>
      <c r="E3" s="3">
        <v>68</v>
      </c>
      <c r="F3" s="3">
        <v>32</v>
      </c>
      <c r="H3" s="3"/>
      <c r="I3" s="3" t="s">
        <v>11</v>
      </c>
      <c r="J3" s="3" t="s">
        <v>3</v>
      </c>
      <c r="K3" s="3" t="s">
        <v>4</v>
      </c>
      <c r="L3" s="3" t="s">
        <v>5</v>
      </c>
      <c r="M3" s="3" t="s">
        <v>12</v>
      </c>
      <c r="N3" s="3"/>
    </row>
    <row r="4" spans="1:14" x14ac:dyDescent="0.25">
      <c r="A4" s="3" t="s">
        <v>8</v>
      </c>
      <c r="B4" s="3">
        <v>80</v>
      </c>
      <c r="C4" s="3">
        <v>84</v>
      </c>
      <c r="D4" s="3">
        <v>82</v>
      </c>
      <c r="E4" s="3">
        <v>77</v>
      </c>
      <c r="F4" s="3">
        <v>26</v>
      </c>
      <c r="H4" s="3" t="s">
        <v>15</v>
      </c>
      <c r="I4" s="3">
        <v>20</v>
      </c>
      <c r="J4" s="3">
        <v>0</v>
      </c>
      <c r="K4" s="3">
        <v>12</v>
      </c>
      <c r="L4" s="3">
        <v>0</v>
      </c>
      <c r="M4" s="3">
        <v>0</v>
      </c>
      <c r="N4" s="3">
        <f>SUM(I4:M4)</f>
        <v>32</v>
      </c>
    </row>
    <row r="5" spans="1:14" x14ac:dyDescent="0.25">
      <c r="A5" s="3" t="s">
        <v>10</v>
      </c>
      <c r="B5" s="3">
        <v>80</v>
      </c>
      <c r="C5" s="3">
        <v>83</v>
      </c>
      <c r="D5" s="3">
        <v>82</v>
      </c>
      <c r="E5" s="3">
        <v>76</v>
      </c>
      <c r="F5" s="3">
        <v>27</v>
      </c>
      <c r="H5" s="3" t="s">
        <v>16</v>
      </c>
      <c r="I5" s="3">
        <v>8</v>
      </c>
      <c r="J5" s="3">
        <v>0</v>
      </c>
      <c r="K5" s="3">
        <v>0</v>
      </c>
      <c r="L5" s="3">
        <v>8</v>
      </c>
      <c r="M5" s="3">
        <v>10</v>
      </c>
      <c r="N5" s="3">
        <f t="shared" ref="N5:N6" si="0">SUM(I5:M5)</f>
        <v>26</v>
      </c>
    </row>
    <row r="6" spans="1:14" x14ac:dyDescent="0.25">
      <c r="A6" s="3" t="s">
        <v>9</v>
      </c>
      <c r="B6" s="3">
        <v>28</v>
      </c>
      <c r="C6" s="3">
        <v>19</v>
      </c>
      <c r="D6" s="3">
        <v>12</v>
      </c>
      <c r="E6" s="3">
        <v>16</v>
      </c>
      <c r="F6" s="3"/>
      <c r="H6" s="3" t="s">
        <v>17</v>
      </c>
      <c r="I6" s="3">
        <v>0</v>
      </c>
      <c r="J6" s="3">
        <v>19</v>
      </c>
      <c r="K6" s="3">
        <v>0</v>
      </c>
      <c r="L6" s="3">
        <v>8</v>
      </c>
      <c r="M6" s="3">
        <v>0</v>
      </c>
      <c r="N6" s="3">
        <f t="shared" si="0"/>
        <v>27</v>
      </c>
    </row>
    <row r="7" spans="1:14" x14ac:dyDescent="0.25">
      <c r="H7" s="3" t="s">
        <v>14</v>
      </c>
      <c r="I7" s="3">
        <f>SUM(I4:I6)</f>
        <v>28</v>
      </c>
      <c r="J7" s="3">
        <f t="shared" ref="J7:M7" si="1">SUM(J4:J6)</f>
        <v>19</v>
      </c>
      <c r="K7" s="3">
        <f t="shared" si="1"/>
        <v>12</v>
      </c>
      <c r="L7" s="3">
        <f t="shared" si="1"/>
        <v>16</v>
      </c>
      <c r="M7" s="3">
        <f t="shared" si="1"/>
        <v>10</v>
      </c>
      <c r="N7" s="3"/>
    </row>
    <row r="8" spans="1:14" x14ac:dyDescent="0.25">
      <c r="A8" s="3"/>
      <c r="B8" s="3" t="s">
        <v>11</v>
      </c>
      <c r="C8" s="3" t="s">
        <v>3</v>
      </c>
      <c r="D8" s="3" t="s">
        <v>4</v>
      </c>
      <c r="E8" s="3" t="s">
        <v>5</v>
      </c>
      <c r="F8" s="3" t="s">
        <v>12</v>
      </c>
    </row>
    <row r="9" spans="1:14" x14ac:dyDescent="0.25">
      <c r="A9" s="3" t="s">
        <v>15</v>
      </c>
      <c r="B9" s="3">
        <v>70</v>
      </c>
      <c r="C9" s="3">
        <v>76</v>
      </c>
      <c r="D9" s="3">
        <v>72</v>
      </c>
      <c r="E9" s="3">
        <v>68</v>
      </c>
      <c r="F9" s="3">
        <v>0</v>
      </c>
    </row>
    <row r="10" spans="1:14" x14ac:dyDescent="0.25">
      <c r="A10" s="3" t="s">
        <v>16</v>
      </c>
      <c r="B10" s="3">
        <v>80</v>
      </c>
      <c r="C10" s="3">
        <v>84</v>
      </c>
      <c r="D10" s="3">
        <v>82</v>
      </c>
      <c r="E10" s="3">
        <v>77</v>
      </c>
      <c r="F10" s="3">
        <v>0</v>
      </c>
    </row>
    <row r="11" spans="1:14" x14ac:dyDescent="0.25">
      <c r="A11" s="3" t="s">
        <v>17</v>
      </c>
      <c r="B11" s="3">
        <v>80</v>
      </c>
      <c r="C11" s="3">
        <v>83</v>
      </c>
      <c r="D11" s="3">
        <v>82</v>
      </c>
      <c r="E11" s="3">
        <v>76</v>
      </c>
      <c r="F11" s="3">
        <v>0</v>
      </c>
    </row>
    <row r="13" spans="1:14" x14ac:dyDescent="0.25">
      <c r="A13" t="s">
        <v>18</v>
      </c>
      <c r="B13" s="4">
        <f>SUMPRODUCT(I4:M6, B9:F11)</f>
        <v>5705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Поиск решения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каб54</dc:creator>
  <cp:lastModifiedBy>Студент каб54</cp:lastModifiedBy>
  <dcterms:created xsi:type="dcterms:W3CDTF">2026-02-13T06:59:40Z</dcterms:created>
  <dcterms:modified xsi:type="dcterms:W3CDTF">2026-02-13T08:19:37Z</dcterms:modified>
</cp:coreProperties>
</file>