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40 Мат\"/>
    </mc:Choice>
  </mc:AlternateContent>
  <xr:revisionPtr revIDLastSave="0" documentId="13_ncr:1_{0CA4C372-5452-4A17-914D-ED411A08C56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Мат модель" sheetId="1" r:id="rId1"/>
    <sheet name="Поиск решения" sheetId="2" r:id="rId2"/>
    <sheet name="наим стоим" sheetId="4" r:id="rId3"/>
    <sheet name="метод потенциалов" sheetId="3" r:id="rId4"/>
  </sheets>
  <definedNames>
    <definedName name="solver_adj" localSheetId="1" hidden="1">'Поиск решения'!$B$11:$E$13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решения'!$B$11:$E$13</definedName>
    <definedName name="solver_lhs2" localSheetId="1" hidden="1">'Поиск решения'!$B$14:$E$14</definedName>
    <definedName name="solver_lhs3" localSheetId="1" hidden="1">'Поиск решения'!$F$11:$F$13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'Поиск решения'!$B$17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2</definedName>
    <definedName name="solver_rel3" localSheetId="1" hidden="1">2</definedName>
    <definedName name="solver_rhs1" localSheetId="1" hidden="1">"целое"</definedName>
    <definedName name="solver_rhs2" localSheetId="1" hidden="1">'Поиск решения'!$B$6:$E$6</definedName>
    <definedName name="solver_rhs3" localSheetId="1" hidden="1">'Поиск решения'!$F$3:$F$5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1" i="4"/>
  <c r="C14" i="2"/>
  <c r="D14" i="2"/>
  <c r="E14" i="2"/>
  <c r="B14" i="2"/>
  <c r="F12" i="2"/>
  <c r="F13" i="2"/>
  <c r="F11" i="2"/>
  <c r="G6" i="1"/>
  <c r="F7" i="1"/>
</calcChain>
</file>

<file path=xl/sharedStrings.xml><?xml version="1.0" encoding="utf-8"?>
<sst xmlns="http://schemas.openxmlformats.org/spreadsheetml/2006/main" count="77" uniqueCount="25">
  <si>
    <t>Склады</t>
  </si>
  <si>
    <t>Супермаркеты</t>
  </si>
  <si>
    <t>Запасы</t>
  </si>
  <si>
    <t>"Рамстор-1"</t>
  </si>
  <si>
    <t>"Рамстор-2"</t>
  </si>
  <si>
    <t>"Седьмой континент"</t>
  </si>
  <si>
    <t>"Арбатский"</t>
  </si>
  <si>
    <t>Coca-cola</t>
  </si>
  <si>
    <t>Sprite</t>
  </si>
  <si>
    <t>Fanta</t>
  </si>
  <si>
    <t>Заказы, уп.</t>
  </si>
  <si>
    <t>F(X)=</t>
  </si>
  <si>
    <r>
      <t>Склады, u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</si>
  <si>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</si>
  <si>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</si>
  <si>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=</t>
    </r>
  </si>
  <si>
    <t>250, к</t>
  </si>
  <si>
    <t>150, к</t>
  </si>
  <si>
    <t>400, 150, к</t>
  </si>
  <si>
    <t>300, 150, к</t>
  </si>
  <si>
    <t>350, 200, 50, к</t>
  </si>
  <si>
    <t>200, 50, к</t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</si>
  <si>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</si>
  <si>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=</t>
    </r>
  </si>
  <si>
    <r>
      <t>u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+v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</si>
</sst>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4"/>
      <color theme="8"/>
      <name val="Calibri"/>
      <family val="2"/>
      <scheme val="minor"/>
    </font>
    <font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152400</xdr:rowOff>
    </xdr:from>
    <xdr:to>
      <xdr:col>2</xdr:col>
      <xdr:colOff>733425</xdr:colOff>
      <xdr:row>17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837C568-F6C8-2202-97A0-A0AC819F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657350"/>
          <a:ext cx="224790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18</xdr:row>
      <xdr:rowOff>47625</xdr:rowOff>
    </xdr:from>
    <xdr:to>
      <xdr:col>8</xdr:col>
      <xdr:colOff>152400</xdr:colOff>
      <xdr:row>20</xdr:row>
      <xdr:rowOff>123825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9B54FF3-7646-D38F-0860-7875A09C6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648075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2</xdr:row>
      <xdr:rowOff>28576</xdr:rowOff>
    </xdr:from>
    <xdr:to>
      <xdr:col>9</xdr:col>
      <xdr:colOff>266700</xdr:colOff>
      <xdr:row>8</xdr:row>
      <xdr:rowOff>38101</xdr:rowOff>
    </xdr:to>
    <xdr:sp macro="" textlink="">
      <xdr:nvSpPr>
        <xdr:cNvPr id="2" name="Левая фигурная скобка 1">
          <a:extLst>
            <a:ext uri="{FF2B5EF4-FFF2-40B4-BE49-F238E27FC236}">
              <a16:creationId xmlns:a16="http://schemas.microsoft.com/office/drawing/2014/main" id="{69AE82D6-5469-4279-B42A-919E14435679}"/>
            </a:ext>
          </a:extLst>
        </xdr:cNvPr>
        <xdr:cNvSpPr/>
      </xdr:nvSpPr>
      <xdr:spPr>
        <a:xfrm>
          <a:off x="7010400" y="628651"/>
          <a:ext cx="514350" cy="13906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F6"/>
    </sheetView>
  </sheetViews>
  <sheetFormatPr defaultRowHeight="15" x14ac:dyDescent="0.25"/>
  <cols>
    <col min="1" max="1" width="12" customWidth="1"/>
    <col min="2" max="2" width="12.85546875" customWidth="1"/>
    <col min="3" max="3" width="11.85546875" customWidth="1"/>
    <col min="4" max="4" width="14" customWidth="1"/>
    <col min="5" max="5" width="12.28515625" customWidth="1"/>
  </cols>
  <sheetData>
    <row r="1" spans="1:7" x14ac:dyDescent="0.25">
      <c r="A1" s="1" t="s">
        <v>0</v>
      </c>
      <c r="B1" s="1" t="s">
        <v>1</v>
      </c>
      <c r="C1" s="1"/>
      <c r="D1" s="1"/>
      <c r="E1" s="1"/>
      <c r="F1" s="1" t="s">
        <v>2</v>
      </c>
    </row>
    <row r="2" spans="1:7" ht="28.5" customHeight="1" x14ac:dyDescent="0.25">
      <c r="A2" s="1"/>
      <c r="B2" s="2" t="s">
        <v>3</v>
      </c>
      <c r="C2" s="2" t="s">
        <v>4</v>
      </c>
      <c r="D2" s="3" t="s">
        <v>5</v>
      </c>
      <c r="E2" s="2" t="s">
        <v>6</v>
      </c>
      <c r="F2" s="1"/>
    </row>
    <row r="3" spans="1:7" x14ac:dyDescent="0.25">
      <c r="A3" s="2" t="s">
        <v>7</v>
      </c>
      <c r="B3" s="2">
        <v>6</v>
      </c>
      <c r="C3" s="2">
        <v>4</v>
      </c>
      <c r="D3" s="2">
        <v>9</v>
      </c>
      <c r="E3" s="2">
        <v>5</v>
      </c>
      <c r="F3" s="2">
        <v>400</v>
      </c>
    </row>
    <row r="4" spans="1:7" x14ac:dyDescent="0.25">
      <c r="A4" s="2" t="s">
        <v>8</v>
      </c>
      <c r="B4" s="2">
        <v>5</v>
      </c>
      <c r="C4" s="2">
        <v>7</v>
      </c>
      <c r="D4" s="2">
        <v>8</v>
      </c>
      <c r="E4" s="2">
        <v>6</v>
      </c>
      <c r="F4" s="2">
        <v>300</v>
      </c>
    </row>
    <row r="5" spans="1:7" x14ac:dyDescent="0.25">
      <c r="A5" s="2" t="s">
        <v>9</v>
      </c>
      <c r="B5" s="2">
        <v>9</v>
      </c>
      <c r="C5" s="2">
        <v>4</v>
      </c>
      <c r="D5" s="2">
        <v>6</v>
      </c>
      <c r="E5" s="2">
        <v>7</v>
      </c>
      <c r="F5" s="2">
        <v>200</v>
      </c>
    </row>
    <row r="6" spans="1:7" x14ac:dyDescent="0.25">
      <c r="A6" s="2" t="s">
        <v>10</v>
      </c>
      <c r="B6" s="2">
        <v>150</v>
      </c>
      <c r="C6" s="2">
        <v>250</v>
      </c>
      <c r="D6" s="2">
        <v>150</v>
      </c>
      <c r="E6" s="2">
        <v>350</v>
      </c>
      <c r="F6" s="2"/>
      <c r="G6">
        <f>SUM(B6:E6)</f>
        <v>900</v>
      </c>
    </row>
    <row r="7" spans="1:7" x14ac:dyDescent="0.25">
      <c r="F7">
        <f>SUM(F3:F5)</f>
        <v>900</v>
      </c>
    </row>
  </sheetData>
  <mergeCells count="3">
    <mergeCell ref="A1:A2"/>
    <mergeCell ref="B1:E1"/>
    <mergeCell ref="F1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7ED1-B7DB-4C3A-9455-4AAB15B700A4}">
  <dimension ref="A1:F17"/>
  <sheetViews>
    <sheetView workbookViewId="0">
      <selection activeCell="B17" sqref="B17"/>
    </sheetView>
  </sheetViews>
  <sheetFormatPr defaultRowHeight="15" x14ac:dyDescent="0.25"/>
  <cols>
    <col min="1" max="1" width="11.42578125" customWidth="1"/>
    <col min="2" max="2" width="11.28515625" customWidth="1"/>
    <col min="3" max="3" width="11.5703125" customWidth="1"/>
    <col min="4" max="4" width="15.42578125" customWidth="1"/>
    <col min="5" max="5" width="12.42578125" customWidth="1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 t="s">
        <v>2</v>
      </c>
    </row>
    <row r="2" spans="1:6" ht="30" customHeight="1" x14ac:dyDescent="0.25">
      <c r="A2" s="1"/>
      <c r="B2" s="2" t="s">
        <v>3</v>
      </c>
      <c r="C2" s="2" t="s">
        <v>4</v>
      </c>
      <c r="D2" s="3" t="s">
        <v>5</v>
      </c>
      <c r="E2" s="2" t="s">
        <v>6</v>
      </c>
      <c r="F2" s="1"/>
    </row>
    <row r="3" spans="1:6" x14ac:dyDescent="0.25">
      <c r="A3" s="2" t="s">
        <v>7</v>
      </c>
      <c r="B3" s="2">
        <v>6</v>
      </c>
      <c r="C3" s="2">
        <v>4</v>
      </c>
      <c r="D3" s="2">
        <v>9</v>
      </c>
      <c r="E3" s="2">
        <v>5</v>
      </c>
      <c r="F3" s="2">
        <v>400</v>
      </c>
    </row>
    <row r="4" spans="1:6" x14ac:dyDescent="0.25">
      <c r="A4" s="2" t="s">
        <v>8</v>
      </c>
      <c r="B4" s="2">
        <v>5</v>
      </c>
      <c r="C4" s="2">
        <v>7</v>
      </c>
      <c r="D4" s="2">
        <v>8</v>
      </c>
      <c r="E4" s="2">
        <v>6</v>
      </c>
      <c r="F4" s="2">
        <v>300</v>
      </c>
    </row>
    <row r="5" spans="1:6" x14ac:dyDescent="0.25">
      <c r="A5" s="2" t="s">
        <v>9</v>
      </c>
      <c r="B5" s="2">
        <v>9</v>
      </c>
      <c r="C5" s="2">
        <v>4</v>
      </c>
      <c r="D5" s="2">
        <v>6</v>
      </c>
      <c r="E5" s="2">
        <v>7</v>
      </c>
      <c r="F5" s="2">
        <v>200</v>
      </c>
    </row>
    <row r="6" spans="1:6" x14ac:dyDescent="0.25">
      <c r="A6" s="2" t="s">
        <v>10</v>
      </c>
      <c r="B6" s="2">
        <v>150</v>
      </c>
      <c r="C6" s="2">
        <v>250</v>
      </c>
      <c r="D6" s="2">
        <v>150</v>
      </c>
      <c r="E6" s="2">
        <v>350</v>
      </c>
      <c r="F6" s="2"/>
    </row>
    <row r="9" spans="1:6" x14ac:dyDescent="0.25">
      <c r="A9" s="1" t="s">
        <v>0</v>
      </c>
      <c r="B9" s="1" t="s">
        <v>1</v>
      </c>
      <c r="C9" s="1"/>
      <c r="D9" s="1"/>
      <c r="E9" s="1"/>
      <c r="F9" s="1" t="s">
        <v>2</v>
      </c>
    </row>
    <row r="10" spans="1:6" ht="30" x14ac:dyDescent="0.25">
      <c r="A10" s="1"/>
      <c r="B10" s="2" t="s">
        <v>3</v>
      </c>
      <c r="C10" s="2" t="s">
        <v>4</v>
      </c>
      <c r="D10" s="3" t="s">
        <v>5</v>
      </c>
      <c r="E10" s="2" t="s">
        <v>6</v>
      </c>
      <c r="F10" s="1"/>
    </row>
    <row r="11" spans="1:6" x14ac:dyDescent="0.25">
      <c r="A11" s="2" t="s">
        <v>7</v>
      </c>
      <c r="B11" s="2">
        <v>0</v>
      </c>
      <c r="C11" s="2">
        <v>200</v>
      </c>
      <c r="D11" s="2">
        <v>0</v>
      </c>
      <c r="E11" s="2">
        <v>200</v>
      </c>
      <c r="F11" s="2">
        <f>SUM(B11:E11)</f>
        <v>400</v>
      </c>
    </row>
    <row r="12" spans="1:6" x14ac:dyDescent="0.25">
      <c r="A12" s="2" t="s">
        <v>8</v>
      </c>
      <c r="B12" s="2">
        <v>150</v>
      </c>
      <c r="C12" s="2">
        <v>0</v>
      </c>
      <c r="D12" s="2">
        <v>0</v>
      </c>
      <c r="E12" s="2">
        <v>150</v>
      </c>
      <c r="F12" s="2">
        <f t="shared" ref="F12:F13" si="0">SUM(B12:E12)</f>
        <v>300</v>
      </c>
    </row>
    <row r="13" spans="1:6" x14ac:dyDescent="0.25">
      <c r="A13" s="2" t="s">
        <v>9</v>
      </c>
      <c r="B13" s="2">
        <v>0</v>
      </c>
      <c r="C13" s="2">
        <v>50</v>
      </c>
      <c r="D13" s="2">
        <v>150</v>
      </c>
      <c r="E13" s="2">
        <v>0</v>
      </c>
      <c r="F13" s="2">
        <f t="shared" si="0"/>
        <v>200</v>
      </c>
    </row>
    <row r="14" spans="1:6" x14ac:dyDescent="0.25">
      <c r="A14" s="2" t="s">
        <v>10</v>
      </c>
      <c r="B14" s="2">
        <f>SUM(B11:B13)</f>
        <v>150</v>
      </c>
      <c r="C14" s="2">
        <f t="shared" ref="C14:E14" si="1">SUM(C11:C13)</f>
        <v>250</v>
      </c>
      <c r="D14" s="2">
        <f t="shared" si="1"/>
        <v>150</v>
      </c>
      <c r="E14" s="2">
        <f t="shared" si="1"/>
        <v>350</v>
      </c>
      <c r="F14" s="2"/>
    </row>
    <row r="17" spans="1:2" x14ac:dyDescent="0.25">
      <c r="A17" s="4" t="s">
        <v>11</v>
      </c>
      <c r="B17">
        <f>SUMPRODUCT(B3:E5,B11:E13)</f>
        <v>4550</v>
      </c>
    </row>
  </sheetData>
  <mergeCells count="6">
    <mergeCell ref="A1:A2"/>
    <mergeCell ref="B1:E1"/>
    <mergeCell ref="F1:F2"/>
    <mergeCell ref="A9:A10"/>
    <mergeCell ref="B9:E9"/>
    <mergeCell ref="F9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1396-548A-49B7-B81B-F63DA1F70AF8}">
  <dimension ref="A1:F11"/>
  <sheetViews>
    <sheetView workbookViewId="0">
      <selection activeCell="B5" sqref="B5"/>
    </sheetView>
  </sheetViews>
  <sheetFormatPr defaultRowHeight="15" x14ac:dyDescent="0.25"/>
  <cols>
    <col min="1" max="1" width="14.85546875" customWidth="1"/>
    <col min="2" max="2" width="15.5703125" customWidth="1"/>
    <col min="3" max="3" width="14.85546875" customWidth="1"/>
    <col min="4" max="4" width="13.85546875" customWidth="1"/>
    <col min="5" max="5" width="12.5703125" customWidth="1"/>
    <col min="6" max="6" width="16" customWidth="1"/>
  </cols>
  <sheetData>
    <row r="1" spans="1:6" x14ac:dyDescent="0.25">
      <c r="A1" s="9" t="s">
        <v>0</v>
      </c>
      <c r="B1" s="1" t="s">
        <v>1</v>
      </c>
      <c r="C1" s="1"/>
      <c r="D1" s="1"/>
      <c r="E1" s="1"/>
      <c r="F1" s="1" t="s">
        <v>2</v>
      </c>
    </row>
    <row r="2" spans="1:6" ht="27" customHeight="1" x14ac:dyDescent="0.25">
      <c r="A2" s="10"/>
      <c r="B2" s="2" t="s">
        <v>3</v>
      </c>
      <c r="C2" s="2" t="s">
        <v>4</v>
      </c>
      <c r="D2" s="3" t="s">
        <v>5</v>
      </c>
      <c r="E2" s="2" t="s">
        <v>6</v>
      </c>
      <c r="F2" s="1"/>
    </row>
    <row r="3" spans="1:6" x14ac:dyDescent="0.25">
      <c r="A3" s="1" t="s">
        <v>7</v>
      </c>
      <c r="B3" s="16">
        <v>6</v>
      </c>
      <c r="C3" s="16">
        <v>4</v>
      </c>
      <c r="D3" s="16">
        <v>9</v>
      </c>
      <c r="E3" s="16">
        <v>5</v>
      </c>
      <c r="F3" s="9" t="s">
        <v>18</v>
      </c>
    </row>
    <row r="4" spans="1:6" x14ac:dyDescent="0.25">
      <c r="A4" s="1"/>
      <c r="B4" s="17"/>
      <c r="C4" s="17">
        <v>250</v>
      </c>
      <c r="D4" s="17"/>
      <c r="E4" s="17">
        <v>150</v>
      </c>
      <c r="F4" s="10"/>
    </row>
    <row r="5" spans="1:6" x14ac:dyDescent="0.25">
      <c r="A5" s="1" t="s">
        <v>8</v>
      </c>
      <c r="B5" s="16">
        <v>5</v>
      </c>
      <c r="C5" s="16">
        <v>7</v>
      </c>
      <c r="D5" s="16">
        <v>8</v>
      </c>
      <c r="E5" s="16">
        <v>6</v>
      </c>
      <c r="F5" s="9" t="s">
        <v>19</v>
      </c>
    </row>
    <row r="6" spans="1:6" x14ac:dyDescent="0.25">
      <c r="A6" s="1"/>
      <c r="B6" s="17">
        <v>150</v>
      </c>
      <c r="C6" s="17"/>
      <c r="D6" s="17"/>
      <c r="E6" s="17">
        <v>150</v>
      </c>
      <c r="F6" s="10"/>
    </row>
    <row r="7" spans="1:6" x14ac:dyDescent="0.25">
      <c r="A7" s="1" t="s">
        <v>9</v>
      </c>
      <c r="B7" s="16">
        <v>9</v>
      </c>
      <c r="C7" s="16">
        <v>4</v>
      </c>
      <c r="D7" s="16">
        <v>6</v>
      </c>
      <c r="E7" s="16">
        <v>7</v>
      </c>
      <c r="F7" s="9" t="s">
        <v>21</v>
      </c>
    </row>
    <row r="8" spans="1:6" x14ac:dyDescent="0.25">
      <c r="A8" s="1"/>
      <c r="B8" s="17"/>
      <c r="C8" s="17"/>
      <c r="D8" s="17">
        <v>150</v>
      </c>
      <c r="E8" s="17">
        <v>50</v>
      </c>
      <c r="F8" s="10"/>
    </row>
    <row r="9" spans="1:6" x14ac:dyDescent="0.25">
      <c r="A9" s="2" t="s">
        <v>10</v>
      </c>
      <c r="B9" s="2" t="s">
        <v>17</v>
      </c>
      <c r="C9" s="2" t="s">
        <v>16</v>
      </c>
      <c r="D9" s="2" t="s">
        <v>17</v>
      </c>
      <c r="E9" s="2" t="s">
        <v>20</v>
      </c>
      <c r="F9" s="2"/>
    </row>
    <row r="11" spans="1:6" x14ac:dyDescent="0.25">
      <c r="A11" s="4" t="s">
        <v>11</v>
      </c>
      <c r="B11">
        <f>C3*C4+E3*E4+B5*B6+E5*E6+D7*D8</f>
        <v>4300</v>
      </c>
    </row>
  </sheetData>
  <mergeCells count="9">
    <mergeCell ref="A5:A6"/>
    <mergeCell ref="A7:A8"/>
    <mergeCell ref="F1:F2"/>
    <mergeCell ref="F3:F4"/>
    <mergeCell ref="F5:F6"/>
    <mergeCell ref="F7:F8"/>
    <mergeCell ref="A1:A2"/>
    <mergeCell ref="B1:E1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66F5-04C9-492B-85A9-623ED109BAF6}">
  <dimension ref="A1:K20"/>
  <sheetViews>
    <sheetView tabSelected="1" workbookViewId="0">
      <selection activeCell="H22" sqref="H22"/>
    </sheetView>
  </sheetViews>
  <sheetFormatPr defaultRowHeight="15" x14ac:dyDescent="0.25"/>
  <cols>
    <col min="1" max="2" width="15.42578125" customWidth="1"/>
    <col min="3" max="3" width="12.5703125" customWidth="1"/>
    <col min="4" max="4" width="11.7109375" customWidth="1"/>
    <col min="5" max="5" width="14.28515625" customWidth="1"/>
    <col min="6" max="6" width="12" customWidth="1"/>
  </cols>
  <sheetData>
    <row r="1" spans="1:11" ht="15" customHeight="1" x14ac:dyDescent="0.25">
      <c r="A1" s="1" t="s">
        <v>12</v>
      </c>
      <c r="B1" s="1"/>
      <c r="C1" s="1" t="s">
        <v>1</v>
      </c>
      <c r="D1" s="1"/>
      <c r="E1" s="1"/>
      <c r="F1" s="1"/>
      <c r="G1" s="12"/>
    </row>
    <row r="2" spans="1:11" ht="32.25" customHeight="1" x14ac:dyDescent="0.25">
      <c r="A2" s="1"/>
      <c r="B2" s="1"/>
      <c r="C2" s="2" t="s">
        <v>3</v>
      </c>
      <c r="D2" s="2" t="s">
        <v>4</v>
      </c>
      <c r="E2" s="3" t="s">
        <v>5</v>
      </c>
      <c r="F2" s="2" t="s">
        <v>6</v>
      </c>
      <c r="G2" s="12"/>
    </row>
    <row r="3" spans="1:11" ht="15" customHeight="1" x14ac:dyDescent="0.35">
      <c r="A3" s="1"/>
      <c r="B3" s="1"/>
      <c r="C3" s="5">
        <v>4</v>
      </c>
      <c r="D3" s="5">
        <v>4</v>
      </c>
      <c r="E3" s="6">
        <v>4</v>
      </c>
      <c r="F3" s="5">
        <v>5</v>
      </c>
      <c r="G3" s="13"/>
      <c r="J3" s="7" t="s">
        <v>13</v>
      </c>
      <c r="K3" s="8">
        <v>4</v>
      </c>
    </row>
    <row r="4" spans="1:11" ht="18.75" customHeight="1" x14ac:dyDescent="0.35">
      <c r="A4" s="1" t="s">
        <v>7</v>
      </c>
      <c r="B4" s="11">
        <v>0</v>
      </c>
      <c r="C4" s="16">
        <v>6</v>
      </c>
      <c r="D4" s="16">
        <v>4</v>
      </c>
      <c r="E4" s="16">
        <v>9</v>
      </c>
      <c r="F4" s="16">
        <v>5</v>
      </c>
      <c r="G4" s="14"/>
      <c r="J4" s="7" t="s">
        <v>22</v>
      </c>
      <c r="K4" s="8">
        <v>5</v>
      </c>
    </row>
    <row r="5" spans="1:11" ht="18.75" customHeight="1" x14ac:dyDescent="0.35">
      <c r="A5" s="1"/>
      <c r="B5" s="11"/>
      <c r="C5" s="17"/>
      <c r="D5" s="17">
        <v>250</v>
      </c>
      <c r="E5" s="17"/>
      <c r="F5" s="17">
        <v>150</v>
      </c>
      <c r="G5" s="14"/>
      <c r="J5" s="7" t="s">
        <v>14</v>
      </c>
      <c r="K5" s="8">
        <v>5</v>
      </c>
    </row>
    <row r="6" spans="1:11" ht="18.75" customHeight="1" x14ac:dyDescent="0.35">
      <c r="A6" s="1" t="s">
        <v>8</v>
      </c>
      <c r="B6" s="11">
        <v>1</v>
      </c>
      <c r="C6" s="16">
        <v>5</v>
      </c>
      <c r="D6" s="16">
        <v>7</v>
      </c>
      <c r="E6" s="16">
        <v>8</v>
      </c>
      <c r="F6" s="16">
        <v>6</v>
      </c>
      <c r="G6" s="14"/>
      <c r="J6" s="7" t="s">
        <v>23</v>
      </c>
      <c r="K6" s="8">
        <v>6</v>
      </c>
    </row>
    <row r="7" spans="1:11" ht="18.75" customHeight="1" x14ac:dyDescent="0.35">
      <c r="A7" s="1"/>
      <c r="B7" s="11"/>
      <c r="C7" s="17">
        <v>150</v>
      </c>
      <c r="D7" s="17"/>
      <c r="E7" s="17"/>
      <c r="F7" s="17">
        <v>150</v>
      </c>
      <c r="G7" s="14"/>
      <c r="J7" s="7" t="s">
        <v>24</v>
      </c>
      <c r="K7" s="8">
        <v>6</v>
      </c>
    </row>
    <row r="8" spans="1:11" ht="18.75" customHeight="1" x14ac:dyDescent="0.35">
      <c r="A8" s="1" t="s">
        <v>9</v>
      </c>
      <c r="B8" s="11">
        <v>2</v>
      </c>
      <c r="C8" s="16">
        <v>9</v>
      </c>
      <c r="D8" s="16">
        <v>4</v>
      </c>
      <c r="E8" s="16">
        <v>6</v>
      </c>
      <c r="F8" s="16">
        <v>7</v>
      </c>
      <c r="G8" s="14"/>
      <c r="J8" s="7" t="s">
        <v>15</v>
      </c>
      <c r="K8" s="8">
        <v>7</v>
      </c>
    </row>
    <row r="9" spans="1:11" ht="18.75" customHeight="1" x14ac:dyDescent="0.25">
      <c r="A9" s="1"/>
      <c r="B9" s="11"/>
      <c r="C9" s="17"/>
      <c r="D9" s="17"/>
      <c r="E9" s="17">
        <v>150</v>
      </c>
      <c r="F9" s="17">
        <v>50</v>
      </c>
      <c r="G9" s="14"/>
    </row>
    <row r="10" spans="1:11" ht="18.75" x14ac:dyDescent="0.25">
      <c r="A10" s="14"/>
      <c r="B10" s="15"/>
      <c r="C10" s="14"/>
      <c r="D10" s="14"/>
      <c r="E10" s="14"/>
      <c r="F10" s="14"/>
      <c r="G10" s="14"/>
    </row>
    <row r="12" spans="1:11" x14ac:dyDescent="0.25">
      <c r="A12" s="1" t="s">
        <v>12</v>
      </c>
      <c r="B12" s="1"/>
      <c r="C12" s="1" t="s">
        <v>1</v>
      </c>
      <c r="D12" s="1"/>
      <c r="E12" s="1"/>
      <c r="F12" s="1"/>
    </row>
    <row r="13" spans="1:11" ht="30" x14ac:dyDescent="0.25">
      <c r="A13" s="1"/>
      <c r="B13" s="1"/>
      <c r="C13" s="2" t="s">
        <v>3</v>
      </c>
      <c r="D13" s="2" t="s">
        <v>4</v>
      </c>
      <c r="E13" s="3" t="s">
        <v>5</v>
      </c>
      <c r="F13" s="2" t="s">
        <v>6</v>
      </c>
    </row>
    <row r="14" spans="1:11" ht="18.75" x14ac:dyDescent="0.25">
      <c r="A14" s="1"/>
      <c r="B14" s="1"/>
      <c r="C14" s="5">
        <v>4</v>
      </c>
      <c r="D14" s="5">
        <v>4</v>
      </c>
      <c r="E14" s="6">
        <v>4</v>
      </c>
      <c r="F14" s="5">
        <v>5</v>
      </c>
    </row>
    <row r="15" spans="1:11" x14ac:dyDescent="0.25">
      <c r="A15" s="1" t="s">
        <v>7</v>
      </c>
      <c r="B15" s="11">
        <v>0</v>
      </c>
      <c r="C15" s="16">
        <v>6</v>
      </c>
      <c r="D15" s="16">
        <v>4</v>
      </c>
      <c r="E15" s="16">
        <v>9</v>
      </c>
      <c r="F15" s="16">
        <v>5</v>
      </c>
    </row>
    <row r="16" spans="1:11" x14ac:dyDescent="0.25">
      <c r="A16" s="1"/>
      <c r="B16" s="11"/>
      <c r="C16" s="17"/>
      <c r="D16" s="17">
        <v>250</v>
      </c>
      <c r="E16" s="17"/>
      <c r="F16" s="17">
        <v>150</v>
      </c>
    </row>
    <row r="17" spans="1:6" x14ac:dyDescent="0.25">
      <c r="A17" s="1" t="s">
        <v>8</v>
      </c>
      <c r="B17" s="11">
        <v>1</v>
      </c>
      <c r="C17" s="16">
        <v>5</v>
      </c>
      <c r="D17" s="16">
        <v>7</v>
      </c>
      <c r="E17" s="16">
        <v>8</v>
      </c>
      <c r="F17" s="16">
        <v>6</v>
      </c>
    </row>
    <row r="18" spans="1:6" x14ac:dyDescent="0.25">
      <c r="A18" s="1"/>
      <c r="B18" s="11"/>
      <c r="C18" s="17">
        <v>150</v>
      </c>
      <c r="D18" s="17"/>
      <c r="E18" s="17"/>
      <c r="F18" s="17">
        <v>150</v>
      </c>
    </row>
    <row r="19" spans="1:6" x14ac:dyDescent="0.25">
      <c r="A19" s="1" t="s">
        <v>9</v>
      </c>
      <c r="B19" s="11">
        <v>2</v>
      </c>
      <c r="C19" s="16">
        <v>9</v>
      </c>
      <c r="D19" s="16">
        <v>4</v>
      </c>
      <c r="E19" s="16">
        <v>6</v>
      </c>
      <c r="F19" s="16">
        <v>7</v>
      </c>
    </row>
    <row r="20" spans="1:6" x14ac:dyDescent="0.25">
      <c r="A20" s="1"/>
      <c r="B20" s="11"/>
      <c r="C20" s="17"/>
      <c r="D20" s="17"/>
      <c r="E20" s="17">
        <v>150</v>
      </c>
      <c r="F20" s="17">
        <v>50</v>
      </c>
    </row>
  </sheetData>
  <mergeCells count="17">
    <mergeCell ref="C12:F12"/>
    <mergeCell ref="A15:A16"/>
    <mergeCell ref="B15:B16"/>
    <mergeCell ref="A17:A18"/>
    <mergeCell ref="B17:B18"/>
    <mergeCell ref="A19:A20"/>
    <mergeCell ref="B19:B20"/>
    <mergeCell ref="A6:A7"/>
    <mergeCell ref="A8:A9"/>
    <mergeCell ref="B4:B5"/>
    <mergeCell ref="B6:B7"/>
    <mergeCell ref="B8:B9"/>
    <mergeCell ref="A12:B14"/>
    <mergeCell ref="C1:F1"/>
    <mergeCell ref="G1:G2"/>
    <mergeCell ref="A1:B3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 модель</vt:lpstr>
      <vt:lpstr>Поиск решения</vt:lpstr>
      <vt:lpstr>наим стоим</vt:lpstr>
      <vt:lpstr>метод потенциалов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2026-02-13T08:21:23Z</dcterms:modified>
</cp:coreProperties>
</file>