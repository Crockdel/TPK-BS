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транспортной задаче\"/>
    </mc:Choice>
  </mc:AlternateContent>
  <xr:revisionPtr revIDLastSave="0" documentId="13_ncr:1_{4429B45E-FFF8-484C-B932-6548CF2AA379}" xr6:coauthVersionLast="43" xr6:coauthVersionMax="45" xr10:uidLastSave="{00000000-0000-0000-0000-000000000000}"/>
  <bookViews>
    <workbookView xWindow="-60" yWindow="-60" windowWidth="20610" windowHeight="10980" xr2:uid="{AC916079-4600-4CE1-8A3A-E0763E9A72CA}"/>
  </bookViews>
  <sheets>
    <sheet name="Лист1" sheetId="1" r:id="rId1"/>
  </sheets>
  <definedNames>
    <definedName name="solver_adj" localSheetId="0" hidden="1">Лист1!$B$9:$F$11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Лист1!$B$12:$F$12</definedName>
    <definedName name="solver_lhs2" localSheetId="0" hidden="1">Лист1!$B$9:$F$11</definedName>
    <definedName name="solver_lhs3" localSheetId="0" hidden="1">Лист1!$G$9:$G$11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Лист1!$A$15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3</definedName>
    <definedName name="solver_rel3" localSheetId="0" hidden="1">2</definedName>
    <definedName name="solver_rhs1" localSheetId="0" hidden="1">Лист1!$B$13:$F$13</definedName>
    <definedName name="solver_rhs2" localSheetId="0" hidden="1">0</definedName>
    <definedName name="solver_rhs3" localSheetId="0" hidden="1">Лист1!$H$9:$H$11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1" l="1"/>
  <c r="C13" i="1"/>
  <c r="D13" i="1"/>
  <c r="E13" i="1"/>
  <c r="F13" i="1"/>
  <c r="B13" i="1"/>
  <c r="C12" i="1"/>
  <c r="D12" i="1"/>
  <c r="E12" i="1"/>
  <c r="F12" i="1"/>
  <c r="B12" i="1"/>
  <c r="H11" i="1"/>
  <c r="H10" i="1"/>
  <c r="H9" i="1"/>
  <c r="G10" i="1"/>
  <c r="G11" i="1"/>
  <c r="G9" i="1"/>
</calcChain>
</file>

<file path=xl/sharedStrings.xml><?xml version="1.0" encoding="utf-8"?>
<sst xmlns="http://schemas.openxmlformats.org/spreadsheetml/2006/main" count="26" uniqueCount="17">
  <si>
    <t>Склады</t>
  </si>
  <si>
    <t>Аптеки больниц</t>
  </si>
  <si>
    <t>Запасы</t>
  </si>
  <si>
    <t>№ 15</t>
  </si>
  <si>
    <t>№ 7</t>
  </si>
  <si>
    <t>№ 23</t>
  </si>
  <si>
    <t>№ 50</t>
  </si>
  <si>
    <t>Бурденко</t>
  </si>
  <si>
    <t>АС № 1</t>
  </si>
  <si>
    <t>Фарма К.</t>
  </si>
  <si>
    <t>ПРОТЕК</t>
  </si>
  <si>
    <t>Заказы</t>
  </si>
  <si>
    <t>Перевозки</t>
  </si>
  <si>
    <t>Итого</t>
  </si>
  <si>
    <t>Запас</t>
  </si>
  <si>
    <t>Заказ</t>
  </si>
  <si>
    <t>Минимальная стоимость перевозки f(x)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</si>
</sst>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Fill="1" applyBorder="1"/>
    <xf numFmtId="0" fontId="0" fillId="2" borderId="0" xfId="0" applyFill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EC56-44EB-4A0B-A828-4ED8F97B0ECA}">
  <dimension ref="A1:H15"/>
  <sheetViews>
    <sheetView tabSelected="1" workbookViewId="0">
      <selection activeCell="F18" sqref="F18"/>
    </sheetView>
  </sheetViews>
  <sheetFormatPr defaultRowHeight="15" x14ac:dyDescent="0.25"/>
  <cols>
    <col min="1" max="1" width="13.85546875" customWidth="1"/>
    <col min="3" max="3" width="15.85546875" customWidth="1"/>
    <col min="6" max="6" width="11.42578125" customWidth="1"/>
  </cols>
  <sheetData>
    <row r="1" spans="1:8" x14ac:dyDescent="0.25">
      <c r="A1" s="8" t="s">
        <v>0</v>
      </c>
      <c r="B1" s="9" t="s">
        <v>1</v>
      </c>
      <c r="C1" s="9"/>
      <c r="D1" s="9"/>
      <c r="E1" s="9"/>
      <c r="F1" s="9"/>
      <c r="G1" s="8" t="s">
        <v>2</v>
      </c>
    </row>
    <row r="2" spans="1:8" x14ac:dyDescent="0.25">
      <c r="A2" s="8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8"/>
    </row>
    <row r="3" spans="1:8" x14ac:dyDescent="0.25">
      <c r="A3" s="1" t="s">
        <v>8</v>
      </c>
      <c r="B3" s="1">
        <v>10</v>
      </c>
      <c r="C3" s="1">
        <v>11</v>
      </c>
      <c r="D3" s="1">
        <v>6</v>
      </c>
      <c r="E3" s="1">
        <v>7</v>
      </c>
      <c r="F3" s="1">
        <v>8</v>
      </c>
      <c r="G3" s="1">
        <v>100</v>
      </c>
    </row>
    <row r="4" spans="1:8" x14ac:dyDescent="0.25">
      <c r="A4" s="1" t="s">
        <v>9</v>
      </c>
      <c r="B4" s="1">
        <v>10</v>
      </c>
      <c r="C4" s="1">
        <v>11</v>
      </c>
      <c r="D4" s="1">
        <v>8</v>
      </c>
      <c r="E4" s="1">
        <v>9</v>
      </c>
      <c r="F4" s="1">
        <v>12</v>
      </c>
      <c r="G4" s="1">
        <v>150</v>
      </c>
    </row>
    <row r="5" spans="1:8" x14ac:dyDescent="0.25">
      <c r="A5" s="1" t="s">
        <v>10</v>
      </c>
      <c r="B5" s="1">
        <v>12</v>
      </c>
      <c r="C5" s="1">
        <v>12</v>
      </c>
      <c r="D5" s="1">
        <v>10</v>
      </c>
      <c r="E5" s="1">
        <v>12</v>
      </c>
      <c r="F5" s="1">
        <v>14</v>
      </c>
      <c r="G5" s="1">
        <v>200</v>
      </c>
    </row>
    <row r="6" spans="1:8" ht="19.5" customHeight="1" x14ac:dyDescent="0.25">
      <c r="A6" s="2" t="s">
        <v>11</v>
      </c>
      <c r="B6" s="1">
        <v>50</v>
      </c>
      <c r="C6" s="1">
        <v>200</v>
      </c>
      <c r="D6" s="1">
        <v>60</v>
      </c>
      <c r="E6" s="1">
        <v>100</v>
      </c>
      <c r="F6" s="1">
        <v>40</v>
      </c>
      <c r="G6" s="1"/>
    </row>
    <row r="8" spans="1:8" x14ac:dyDescent="0.25">
      <c r="A8" s="3" t="s">
        <v>12</v>
      </c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  <c r="G8" s="3" t="s">
        <v>13</v>
      </c>
      <c r="H8" s="4" t="s">
        <v>14</v>
      </c>
    </row>
    <row r="9" spans="1:8" x14ac:dyDescent="0.25">
      <c r="A9" s="1" t="s">
        <v>8</v>
      </c>
      <c r="B9" s="4">
        <v>0</v>
      </c>
      <c r="C9" s="4">
        <v>0</v>
      </c>
      <c r="D9" s="4">
        <v>60</v>
      </c>
      <c r="E9" s="4">
        <v>0</v>
      </c>
      <c r="F9" s="4">
        <v>40</v>
      </c>
      <c r="G9" s="3">
        <f>SUM(B9:F9)</f>
        <v>100</v>
      </c>
      <c r="H9" s="1">
        <f>G3</f>
        <v>100</v>
      </c>
    </row>
    <row r="10" spans="1:8" x14ac:dyDescent="0.25">
      <c r="A10" s="1" t="s">
        <v>9</v>
      </c>
      <c r="B10" s="4">
        <v>50</v>
      </c>
      <c r="C10" s="4">
        <v>0</v>
      </c>
      <c r="D10" s="4">
        <v>0</v>
      </c>
      <c r="E10" s="4">
        <v>100</v>
      </c>
      <c r="F10" s="4">
        <v>0</v>
      </c>
      <c r="G10" s="3">
        <f t="shared" ref="G10:G11" si="0">SUM(B10:F10)</f>
        <v>150</v>
      </c>
      <c r="H10" s="1">
        <f>G4</f>
        <v>150</v>
      </c>
    </row>
    <row r="11" spans="1:8" x14ac:dyDescent="0.25">
      <c r="A11" s="1" t="s">
        <v>10</v>
      </c>
      <c r="B11" s="4">
        <v>0</v>
      </c>
      <c r="C11" s="4">
        <v>200</v>
      </c>
      <c r="D11" s="4">
        <v>0</v>
      </c>
      <c r="E11" s="4">
        <v>0</v>
      </c>
      <c r="F11" s="4">
        <v>0</v>
      </c>
      <c r="G11" s="3">
        <f t="shared" si="0"/>
        <v>200</v>
      </c>
      <c r="H11" s="1">
        <f>G5</f>
        <v>200</v>
      </c>
    </row>
    <row r="12" spans="1:8" x14ac:dyDescent="0.25">
      <c r="A12" s="4" t="s">
        <v>13</v>
      </c>
      <c r="B12" s="1">
        <f>SUM(B9:B11)</f>
        <v>50</v>
      </c>
      <c r="C12" s="1">
        <f t="shared" ref="C12:F12" si="1">SUM(C9:C11)</f>
        <v>200</v>
      </c>
      <c r="D12" s="1">
        <f t="shared" si="1"/>
        <v>60</v>
      </c>
      <c r="E12" s="1">
        <f t="shared" si="1"/>
        <v>100</v>
      </c>
      <c r="F12" s="1">
        <f t="shared" si="1"/>
        <v>40</v>
      </c>
      <c r="G12" s="1"/>
      <c r="H12" s="1"/>
    </row>
    <row r="13" spans="1:8" x14ac:dyDescent="0.25">
      <c r="A13" s="2" t="s">
        <v>15</v>
      </c>
      <c r="B13" s="1">
        <f>B6</f>
        <v>50</v>
      </c>
      <c r="C13" s="1">
        <f t="shared" ref="C13:F13" si="2">C6</f>
        <v>200</v>
      </c>
      <c r="D13" s="1">
        <f t="shared" si="2"/>
        <v>60</v>
      </c>
      <c r="E13" s="1">
        <f t="shared" si="2"/>
        <v>100</v>
      </c>
      <c r="F13" s="1">
        <f t="shared" si="2"/>
        <v>40</v>
      </c>
      <c r="G13" s="1"/>
      <c r="H13" s="1"/>
    </row>
    <row r="14" spans="1:8" x14ac:dyDescent="0.25">
      <c r="A14" s="6" t="s">
        <v>16</v>
      </c>
      <c r="B14" s="7"/>
      <c r="C14" s="7"/>
    </row>
    <row r="15" spans="1:8" x14ac:dyDescent="0.25">
      <c r="A15" s="5">
        <f>SUMPRODUCT($B$9:$F$11,$B$3:$F$5)</f>
        <v>4480</v>
      </c>
    </row>
  </sheetData>
  <mergeCells count="4">
    <mergeCell ref="A14:C14"/>
    <mergeCell ref="A1:A2"/>
    <mergeCell ref="B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каб54</cp:lastModifiedBy>
  <dcterms:created xsi:type="dcterms:W3CDTF">2026-01-21T02:09:46Z</dcterms:created>
  <dcterms:modified xsi:type="dcterms:W3CDTF">2026-02-13T08:18:47Z</dcterms:modified>
</cp:coreProperties>
</file>