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t54.TPK.002\Desktop\"/>
    </mc:Choice>
  </mc:AlternateContent>
  <xr:revisionPtr revIDLastSave="0" documentId="13_ncr:1_{61A1DDFC-2543-4E3B-8303-FB0407E9EEEC}" xr6:coauthVersionLast="45" xr6:coauthVersionMax="45" xr10:uidLastSave="{00000000-0000-0000-0000-000000000000}"/>
  <bookViews>
    <workbookView xWindow="-60" yWindow="-60" windowWidth="20610" windowHeight="10980" xr2:uid="{00000000-000D-0000-FFFF-FFFF00000000}"/>
  </bookViews>
  <sheets>
    <sheet name="Лист1" sheetId="1" r:id="rId1"/>
  </sheets>
  <definedNames>
    <definedName name="solver_adj" localSheetId="0" hidden="1">Лист1!$B$14:$F$17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Лист1!$B$14:$F$17</definedName>
    <definedName name="solver_lhs2" localSheetId="0" hidden="1">Лист1!$B$18:$F$18</definedName>
    <definedName name="solver_lhs3" localSheetId="0" hidden="1">Лист1!$G$14:$G$17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Лист1!$B$21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hs1" localSheetId="0" hidden="1">"целое"</definedName>
    <definedName name="solver_rhs2" localSheetId="0" hidden="1">Лист1!$B$7:$F$7</definedName>
    <definedName name="solver_rhs3" localSheetId="0" hidden="1">Лист1!$G$3:$G$6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1" l="1"/>
  <c r="C18" i="1"/>
  <c r="D18" i="1"/>
  <c r="E18" i="1"/>
  <c r="F18" i="1"/>
  <c r="B18" i="1"/>
  <c r="G15" i="1"/>
  <c r="G16" i="1"/>
  <c r="G17" i="1"/>
  <c r="G14" i="1"/>
  <c r="G8" i="1"/>
  <c r="H7" i="1"/>
</calcChain>
</file>

<file path=xl/sharedStrings.xml><?xml version="1.0" encoding="utf-8"?>
<sst xmlns="http://schemas.openxmlformats.org/spreadsheetml/2006/main" count="29" uniqueCount="15">
  <si>
    <t>Филиалы</t>
  </si>
  <si>
    <t>Заводы</t>
  </si>
  <si>
    <t>А</t>
  </si>
  <si>
    <t>B</t>
  </si>
  <si>
    <t>C</t>
  </si>
  <si>
    <t>Д</t>
  </si>
  <si>
    <t>Е</t>
  </si>
  <si>
    <t>Запасы, т</t>
  </si>
  <si>
    <t>Ф1</t>
  </si>
  <si>
    <t>Ф2</t>
  </si>
  <si>
    <t>Ф3</t>
  </si>
  <si>
    <t>Заявки, т</t>
  </si>
  <si>
    <t>Ф4</t>
  </si>
  <si>
    <t>min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</si>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</sst>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B21" sqref="B2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/>
      <c r="D1" s="1"/>
      <c r="E1" s="1"/>
      <c r="F1" s="1"/>
      <c r="G1" s="1" t="s">
        <v>7</v>
      </c>
    </row>
    <row r="2" spans="1:8" x14ac:dyDescent="0.25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/>
    </row>
    <row r="3" spans="1:8" x14ac:dyDescent="0.25">
      <c r="A3" s="2" t="s">
        <v>8</v>
      </c>
      <c r="B3" s="2">
        <v>1</v>
      </c>
      <c r="C3" s="2">
        <v>9</v>
      </c>
      <c r="D3" s="2">
        <v>15</v>
      </c>
      <c r="E3" s="2">
        <v>4</v>
      </c>
      <c r="F3" s="2">
        <v>18</v>
      </c>
      <c r="G3" s="2">
        <v>630</v>
      </c>
    </row>
    <row r="4" spans="1:8" x14ac:dyDescent="0.25">
      <c r="A4" s="2" t="s">
        <v>9</v>
      </c>
      <c r="B4" s="2">
        <v>13</v>
      </c>
      <c r="C4" s="2">
        <v>12</v>
      </c>
      <c r="D4" s="2">
        <v>8</v>
      </c>
      <c r="E4" s="2">
        <v>15</v>
      </c>
      <c r="F4" s="2">
        <v>5</v>
      </c>
      <c r="G4" s="2">
        <v>710</v>
      </c>
    </row>
    <row r="5" spans="1:8" x14ac:dyDescent="0.25">
      <c r="A5" s="2" t="s">
        <v>10</v>
      </c>
      <c r="B5" s="2">
        <v>5</v>
      </c>
      <c r="C5" s="2">
        <v>14</v>
      </c>
      <c r="D5" s="2">
        <v>6</v>
      </c>
      <c r="E5" s="2">
        <v>20</v>
      </c>
      <c r="F5" s="2">
        <v>12</v>
      </c>
      <c r="G5" s="2">
        <v>820</v>
      </c>
    </row>
    <row r="6" spans="1:8" x14ac:dyDescent="0.25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340</v>
      </c>
    </row>
    <row r="7" spans="1:8" x14ac:dyDescent="0.25">
      <c r="A7" s="2" t="s">
        <v>11</v>
      </c>
      <c r="B7" s="2">
        <v>400</v>
      </c>
      <c r="C7" s="2">
        <v>520</v>
      </c>
      <c r="D7" s="2">
        <v>480</v>
      </c>
      <c r="E7" s="2">
        <v>560</v>
      </c>
      <c r="F7" s="2">
        <v>540</v>
      </c>
      <c r="G7" s="2" t="s">
        <v>13</v>
      </c>
      <c r="H7">
        <f>SUM(B7+C7+D7+E7+F7)</f>
        <v>2500</v>
      </c>
    </row>
    <row r="8" spans="1:8" x14ac:dyDescent="0.25">
      <c r="G8">
        <f>SUM(G3+G4+G5+G6)</f>
        <v>2500</v>
      </c>
    </row>
    <row r="12" spans="1:8" x14ac:dyDescent="0.25">
      <c r="A12" s="1" t="s">
        <v>0</v>
      </c>
      <c r="B12" s="1" t="s">
        <v>1</v>
      </c>
      <c r="C12" s="1"/>
      <c r="D12" s="1"/>
      <c r="E12" s="1"/>
      <c r="F12" s="1"/>
      <c r="G12" s="1" t="s">
        <v>7</v>
      </c>
    </row>
    <row r="13" spans="1:8" x14ac:dyDescent="0.25">
      <c r="A13" s="1"/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1"/>
    </row>
    <row r="14" spans="1:8" x14ac:dyDescent="0.25">
      <c r="A14" s="2" t="s">
        <v>8</v>
      </c>
      <c r="B14" s="2">
        <v>0</v>
      </c>
      <c r="C14" s="2">
        <v>0</v>
      </c>
      <c r="D14" s="2">
        <v>410</v>
      </c>
      <c r="E14" s="2">
        <v>220</v>
      </c>
      <c r="F14" s="2">
        <v>0</v>
      </c>
      <c r="G14" s="2">
        <f>SUM(B14:E14)</f>
        <v>630</v>
      </c>
    </row>
    <row r="15" spans="1:8" x14ac:dyDescent="0.25">
      <c r="A15" s="2" t="s">
        <v>9</v>
      </c>
      <c r="B15" s="2">
        <v>120</v>
      </c>
      <c r="C15" s="2">
        <v>520</v>
      </c>
      <c r="D15" s="2">
        <v>70</v>
      </c>
      <c r="E15" s="2">
        <v>0</v>
      </c>
      <c r="F15" s="2">
        <v>0</v>
      </c>
      <c r="G15" s="2">
        <f t="shared" ref="G15:G17" si="0">SUM(B15:E15)</f>
        <v>710</v>
      </c>
    </row>
    <row r="16" spans="1:8" x14ac:dyDescent="0.25">
      <c r="A16" s="2" t="s">
        <v>10</v>
      </c>
      <c r="B16" s="2">
        <v>280</v>
      </c>
      <c r="C16" s="2">
        <v>0</v>
      </c>
      <c r="D16" s="2">
        <v>0</v>
      </c>
      <c r="E16" s="2">
        <v>0</v>
      </c>
      <c r="F16" s="2">
        <v>0</v>
      </c>
      <c r="G16" s="2">
        <f t="shared" si="0"/>
        <v>280</v>
      </c>
    </row>
    <row r="17" spans="1:7" x14ac:dyDescent="0.25">
      <c r="A17" s="2" t="s">
        <v>12</v>
      </c>
      <c r="B17" s="2">
        <v>0</v>
      </c>
      <c r="C17" s="2">
        <v>0</v>
      </c>
      <c r="D17" s="2">
        <v>0</v>
      </c>
      <c r="E17" s="2">
        <v>340</v>
      </c>
      <c r="F17" s="2">
        <v>540</v>
      </c>
      <c r="G17" s="2">
        <f t="shared" si="0"/>
        <v>340</v>
      </c>
    </row>
    <row r="18" spans="1:7" x14ac:dyDescent="0.25">
      <c r="A18" s="2" t="s">
        <v>11</v>
      </c>
      <c r="B18" s="2">
        <f>SUM(B14:B17)</f>
        <v>400</v>
      </c>
      <c r="C18" s="2">
        <f t="shared" ref="C18:F18" si="1">SUM(C14:C17)</f>
        <v>520</v>
      </c>
      <c r="D18" s="2">
        <f t="shared" si="1"/>
        <v>480</v>
      </c>
      <c r="E18" s="2">
        <f t="shared" si="1"/>
        <v>560</v>
      </c>
      <c r="F18" s="2">
        <f t="shared" si="1"/>
        <v>540</v>
      </c>
      <c r="G18" s="2" t="s">
        <v>13</v>
      </c>
    </row>
    <row r="21" spans="1:7" x14ac:dyDescent="0.25">
      <c r="A21" s="3" t="s">
        <v>14</v>
      </c>
      <c r="B21">
        <f>SUMPRODUCT(B3:F6,B14:F17)</f>
        <v>16790</v>
      </c>
    </row>
  </sheetData>
  <mergeCells count="6">
    <mergeCell ref="A1:A2"/>
    <mergeCell ref="B1:F1"/>
    <mergeCell ref="G1:G2"/>
    <mergeCell ref="A12:A13"/>
    <mergeCell ref="B12:F12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2015-06-05T18:19:34Z</dcterms:created>
  <dcterms:modified xsi:type="dcterms:W3CDTF">2026-02-13T07:59:12Z</dcterms:modified>
</cp:coreProperties>
</file>