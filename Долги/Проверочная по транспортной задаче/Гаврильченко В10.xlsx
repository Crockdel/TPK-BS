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Titanium2\Classwork\П-40\ТРПО\Гаврильченко\"/>
    </mc:Choice>
  </mc:AlternateContent>
  <xr:revisionPtr revIDLastSave="0" documentId="13_ncr:1_{B7AE200E-832C-47E4-B8E0-3DA5532A692E}" xr6:coauthVersionLast="47" xr6:coauthVersionMax="47" xr10:uidLastSave="{00000000-0000-0000-0000-000000000000}"/>
  <bookViews>
    <workbookView xWindow="0" yWindow="0" windowWidth="14400" windowHeight="15600" firstSheet="3" activeTab="3" xr2:uid="{00000000-000D-0000-FFFF-FFFF00000000}"/>
  </bookViews>
  <sheets>
    <sheet name="Математич." sheetId="1" r:id="rId1"/>
    <sheet name="Лист5" sheetId="6" r:id="rId2"/>
    <sheet name="СЗУ" sheetId="2" r:id="rId3"/>
    <sheet name="Мин. стоимость" sheetId="4" r:id="rId4"/>
    <sheet name="Метод потенциалов" sheetId="3" r:id="rId5"/>
    <sheet name="Поиск решений" sheetId="5" r:id="rId6"/>
  </sheets>
  <definedNames>
    <definedName name="solver_adj" localSheetId="5" hidden="1">'Поиск решений'!$B$12:$D$15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lhs1" localSheetId="5" hidden="1">'Поиск решений'!$B$12:$D$15</definedName>
    <definedName name="solver_lhs2" localSheetId="5" hidden="1">'Поиск решений'!$B$16:$D$16</definedName>
    <definedName name="solver_lhs3" localSheetId="5" hidden="1">'Поиск решений'!$E$12:$E$15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3</definedName>
    <definedName name="solver_nwt" localSheetId="5" hidden="1">1</definedName>
    <definedName name="solver_opt" localSheetId="5" hidden="1">'Поиск решений'!$B$18</definedName>
    <definedName name="solver_pre" localSheetId="5" hidden="1">0.000001</definedName>
    <definedName name="solver_rbv" localSheetId="5" hidden="1">1</definedName>
    <definedName name="solver_rel1" localSheetId="5" hidden="1">4</definedName>
    <definedName name="solver_rel2" localSheetId="5" hidden="1">2</definedName>
    <definedName name="solver_rel3" localSheetId="5" hidden="1">2</definedName>
    <definedName name="solver_rhs1" localSheetId="5" hidden="1">"целое"</definedName>
    <definedName name="solver_rhs2" localSheetId="5" hidden="1">'Поиск решений'!$B$7:$D$7</definedName>
    <definedName name="solver_rhs3" localSheetId="5" hidden="1">'Поиск решений'!$E$3:$E$6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18" i="5"/>
  <c r="C16" i="5"/>
  <c r="D16" i="5"/>
  <c r="B16" i="5"/>
  <c r="E13" i="5"/>
  <c r="E14" i="5"/>
  <c r="E15" i="5"/>
  <c r="E12" i="5"/>
  <c r="B13" i="2"/>
  <c r="E12" i="1"/>
  <c r="F11" i="1"/>
</calcChain>
</file>

<file path=xl/sharedStrings.xml><?xml version="1.0" encoding="utf-8"?>
<sst xmlns="http://schemas.openxmlformats.org/spreadsheetml/2006/main" count="87" uniqueCount="29">
  <si>
    <t>Города</t>
  </si>
  <si>
    <t>Запасы, тыс. шт.</t>
  </si>
  <si>
    <t>Санкт-Петербург</t>
  </si>
  <si>
    <t>Новгород</t>
  </si>
  <si>
    <t>Тольятти</t>
  </si>
  <si>
    <t>Заказы, шт.</t>
  </si>
  <si>
    <t>Москва</t>
  </si>
  <si>
    <t>Киров</t>
  </si>
  <si>
    <t>Смоленск</t>
  </si>
  <si>
    <t>Рязань</t>
  </si>
  <si>
    <t>30, к</t>
  </si>
  <si>
    <t>55, к</t>
  </si>
  <si>
    <t>60, к</t>
  </si>
  <si>
    <t>100, 70, 10, к</t>
  </si>
  <si>
    <t>80, 70, 15, к</t>
  </si>
  <si>
    <t>20, к</t>
  </si>
  <si>
    <t>5, к</t>
  </si>
  <si>
    <t>F(X)=</t>
  </si>
  <si>
    <r>
      <t>Города, v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</si>
  <si>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Города, u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</si>
  <si>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u1+v1=</t>
  </si>
  <si>
    <t>u2+v1=</t>
  </si>
  <si>
    <t>u3+v1=</t>
  </si>
  <si>
    <t>u3+v2=</t>
  </si>
  <si>
    <t>u3+v3=</t>
  </si>
  <si>
    <t>u4+v2=</t>
  </si>
  <si>
    <t>55, 30, к</t>
  </si>
  <si>
    <t>100, 95, 60, к</t>
  </si>
  <si>
    <t>80, 60, 35,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</si>
</sst>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161925</xdr:rowOff>
    </xdr:from>
    <xdr:to>
      <xdr:col>2</xdr:col>
      <xdr:colOff>571500</xdr:colOff>
      <xdr:row>22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53F1C95-17B2-4E3A-89D6-BB0164CD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47925"/>
          <a:ext cx="229552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23</xdr:row>
      <xdr:rowOff>161925</xdr:rowOff>
    </xdr:from>
    <xdr:to>
      <xdr:col>7</xdr:col>
      <xdr:colOff>457200</xdr:colOff>
      <xdr:row>26</xdr:row>
      <xdr:rowOff>47625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F69ADC5-B766-E36B-CDA8-5B962A54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543425"/>
          <a:ext cx="6153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E11"/>
    </sheetView>
  </sheetViews>
  <sheetFormatPr defaultRowHeight="15" x14ac:dyDescent="0.25"/>
  <cols>
    <col min="1" max="1" width="15.42578125" customWidth="1"/>
    <col min="2" max="2" width="11.5703125" customWidth="1"/>
    <col min="3" max="3" width="11.7109375" customWidth="1"/>
    <col min="4" max="4" width="11.85546875" customWidth="1"/>
    <col min="5" max="5" width="17.5703125" customWidth="1"/>
  </cols>
  <sheetData>
    <row r="1" spans="1:6" x14ac:dyDescent="0.25">
      <c r="A1" s="3" t="s">
        <v>0</v>
      </c>
      <c r="B1" s="9" t="s">
        <v>0</v>
      </c>
      <c r="C1" s="10"/>
      <c r="D1" s="11"/>
      <c r="E1" s="3" t="s">
        <v>1</v>
      </c>
    </row>
    <row r="2" spans="1:6" x14ac:dyDescent="0.25">
      <c r="A2" s="3"/>
      <c r="B2" s="6" t="s">
        <v>6</v>
      </c>
      <c r="C2" s="6" t="s">
        <v>7</v>
      </c>
      <c r="D2" s="6" t="s">
        <v>8</v>
      </c>
      <c r="E2" s="3"/>
    </row>
    <row r="3" spans="1:6" x14ac:dyDescent="0.25">
      <c r="A3" s="2" t="s">
        <v>2</v>
      </c>
      <c r="B3" s="5">
        <v>12000</v>
      </c>
      <c r="C3" s="5">
        <v>6000</v>
      </c>
      <c r="D3" s="5">
        <v>5000</v>
      </c>
      <c r="E3" s="7">
        <v>30</v>
      </c>
    </row>
    <row r="4" spans="1:6" x14ac:dyDescent="0.25">
      <c r="A4" s="2"/>
      <c r="B4" s="1"/>
      <c r="C4" s="1"/>
      <c r="D4" s="1"/>
      <c r="E4" s="8"/>
    </row>
    <row r="5" spans="1:6" x14ac:dyDescent="0.25">
      <c r="A5" s="3" t="s">
        <v>3</v>
      </c>
      <c r="B5" s="5">
        <v>6000</v>
      </c>
      <c r="C5" s="5">
        <v>4000</v>
      </c>
      <c r="D5" s="5">
        <v>2000</v>
      </c>
      <c r="E5" s="7">
        <v>60</v>
      </c>
    </row>
    <row r="6" spans="1:6" x14ac:dyDescent="0.25">
      <c r="A6" s="3"/>
      <c r="B6" s="1"/>
      <c r="C6" s="1"/>
      <c r="D6" s="1"/>
      <c r="E6" s="8"/>
    </row>
    <row r="7" spans="1:6" x14ac:dyDescent="0.25">
      <c r="A7" s="3" t="s">
        <v>4</v>
      </c>
      <c r="B7" s="5">
        <v>8000</v>
      </c>
      <c r="C7" s="5">
        <v>4000</v>
      </c>
      <c r="D7" s="5">
        <v>1000</v>
      </c>
      <c r="E7" s="7">
        <v>80</v>
      </c>
    </row>
    <row r="8" spans="1:6" x14ac:dyDescent="0.25">
      <c r="A8" s="3"/>
      <c r="B8" s="1"/>
      <c r="C8" s="1"/>
      <c r="D8" s="1"/>
      <c r="E8" s="8"/>
    </row>
    <row r="9" spans="1:6" x14ac:dyDescent="0.25">
      <c r="A9" s="7" t="s">
        <v>9</v>
      </c>
      <c r="B9" s="5">
        <v>0</v>
      </c>
      <c r="C9" s="5">
        <v>0</v>
      </c>
      <c r="D9" s="5">
        <v>0</v>
      </c>
      <c r="E9" s="7">
        <v>5</v>
      </c>
    </row>
    <row r="10" spans="1:6" x14ac:dyDescent="0.25">
      <c r="A10" s="8"/>
      <c r="B10" s="1"/>
      <c r="C10" s="1"/>
      <c r="D10" s="1"/>
      <c r="E10" s="8"/>
    </row>
    <row r="11" spans="1:6" x14ac:dyDescent="0.25">
      <c r="A11" s="1" t="s">
        <v>5</v>
      </c>
      <c r="B11" s="6">
        <v>100</v>
      </c>
      <c r="C11" s="6">
        <v>55</v>
      </c>
      <c r="D11" s="6">
        <v>20</v>
      </c>
      <c r="E11" s="1"/>
      <c r="F11">
        <f>SUM(B11:D11)</f>
        <v>175</v>
      </c>
    </row>
    <row r="12" spans="1:6" x14ac:dyDescent="0.25">
      <c r="E12">
        <f>SUM(E3:E10)</f>
        <v>175</v>
      </c>
    </row>
  </sheetData>
  <mergeCells count="11">
    <mergeCell ref="A9:A10"/>
    <mergeCell ref="E9:E10"/>
    <mergeCell ref="A1:A2"/>
    <mergeCell ref="B1:D1"/>
    <mergeCell ref="E1:E2"/>
    <mergeCell ref="A3:A4"/>
    <mergeCell ref="A5:A6"/>
    <mergeCell ref="A7:A8"/>
    <mergeCell ref="E3:E4"/>
    <mergeCell ref="E5:E6"/>
    <mergeCell ref="E7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45D1-F3E5-4E0F-B93C-41BF06CA2F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D4AC-89D0-4509-8DA8-B34C673B053F}">
  <dimension ref="A1:E13"/>
  <sheetViews>
    <sheetView workbookViewId="0">
      <selection activeCell="C20" sqref="C20"/>
    </sheetView>
  </sheetViews>
  <sheetFormatPr defaultRowHeight="15" x14ac:dyDescent="0.25"/>
  <cols>
    <col min="1" max="1" width="16.5703125" customWidth="1"/>
    <col min="2" max="2" width="14.140625" customWidth="1"/>
    <col min="3" max="3" width="12.7109375" customWidth="1"/>
    <col min="4" max="4" width="13" customWidth="1"/>
    <col min="5" max="5" width="16.28515625" customWidth="1"/>
  </cols>
  <sheetData>
    <row r="1" spans="1:5" x14ac:dyDescent="0.25">
      <c r="A1" s="3" t="s">
        <v>0</v>
      </c>
      <c r="B1" s="9" t="s">
        <v>0</v>
      </c>
      <c r="C1" s="10"/>
      <c r="D1" s="11"/>
      <c r="E1" s="3" t="s">
        <v>1</v>
      </c>
    </row>
    <row r="2" spans="1:5" x14ac:dyDescent="0.25">
      <c r="A2" s="3"/>
      <c r="B2" s="6" t="s">
        <v>6</v>
      </c>
      <c r="C2" s="6" t="s">
        <v>7</v>
      </c>
      <c r="D2" s="6" t="s">
        <v>8</v>
      </c>
      <c r="E2" s="3"/>
    </row>
    <row r="3" spans="1:5" x14ac:dyDescent="0.25">
      <c r="A3" s="2" t="s">
        <v>2</v>
      </c>
      <c r="B3" s="5">
        <v>12000</v>
      </c>
      <c r="C3" s="5">
        <v>6000</v>
      </c>
      <c r="D3" s="5">
        <v>5000</v>
      </c>
      <c r="E3" s="7" t="s">
        <v>10</v>
      </c>
    </row>
    <row r="4" spans="1:5" ht="18.75" x14ac:dyDescent="0.25">
      <c r="A4" s="2"/>
      <c r="B4" s="12">
        <v>30</v>
      </c>
      <c r="C4" s="12"/>
      <c r="D4" s="12"/>
      <c r="E4" s="8"/>
    </row>
    <row r="5" spans="1:5" x14ac:dyDescent="0.25">
      <c r="A5" s="3" t="s">
        <v>3</v>
      </c>
      <c r="B5" s="5">
        <v>6000</v>
      </c>
      <c r="C5" s="5">
        <v>4000</v>
      </c>
      <c r="D5" s="5">
        <v>2000</v>
      </c>
      <c r="E5" s="7" t="s">
        <v>12</v>
      </c>
    </row>
    <row r="6" spans="1:5" ht="18.75" x14ac:dyDescent="0.25">
      <c r="A6" s="3"/>
      <c r="B6" s="12">
        <v>60</v>
      </c>
      <c r="C6" s="12"/>
      <c r="D6" s="12"/>
      <c r="E6" s="8"/>
    </row>
    <row r="7" spans="1:5" x14ac:dyDescent="0.25">
      <c r="A7" s="3" t="s">
        <v>4</v>
      </c>
      <c r="B7" s="5">
        <v>8000</v>
      </c>
      <c r="C7" s="5">
        <v>4000</v>
      </c>
      <c r="D7" s="5">
        <v>1000</v>
      </c>
      <c r="E7" s="7" t="s">
        <v>14</v>
      </c>
    </row>
    <row r="8" spans="1:5" ht="18.75" x14ac:dyDescent="0.25">
      <c r="A8" s="3"/>
      <c r="B8" s="12">
        <v>10</v>
      </c>
      <c r="C8" s="12">
        <v>55</v>
      </c>
      <c r="D8" s="12">
        <v>15</v>
      </c>
      <c r="E8" s="8"/>
    </row>
    <row r="9" spans="1:5" x14ac:dyDescent="0.25">
      <c r="A9" s="7" t="s">
        <v>9</v>
      </c>
      <c r="B9" s="5">
        <v>0</v>
      </c>
      <c r="C9" s="5">
        <v>0</v>
      </c>
      <c r="D9" s="5">
        <v>0</v>
      </c>
      <c r="E9" s="7" t="s">
        <v>16</v>
      </c>
    </row>
    <row r="10" spans="1:5" ht="18.75" x14ac:dyDescent="0.25">
      <c r="A10" s="8"/>
      <c r="B10" s="12"/>
      <c r="C10" s="12"/>
      <c r="D10" s="12">
        <v>5</v>
      </c>
      <c r="E10" s="8"/>
    </row>
    <row r="11" spans="1:5" x14ac:dyDescent="0.25">
      <c r="A11" s="1" t="s">
        <v>5</v>
      </c>
      <c r="B11" s="6" t="s">
        <v>13</v>
      </c>
      <c r="C11" s="6" t="s">
        <v>11</v>
      </c>
      <c r="D11" s="6" t="s">
        <v>15</v>
      </c>
      <c r="E11" s="1"/>
    </row>
    <row r="13" spans="1:5" x14ac:dyDescent="0.25">
      <c r="A13" t="s">
        <v>17</v>
      </c>
      <c r="B13">
        <f>B4*B3+B6*B5+B8*B7+C8*C7+D8*D7+D10*D9</f>
        <v>1035000</v>
      </c>
    </row>
  </sheetData>
  <mergeCells count="11">
    <mergeCell ref="A7:A8"/>
    <mergeCell ref="E7:E8"/>
    <mergeCell ref="A9:A10"/>
    <mergeCell ref="E9:E10"/>
    <mergeCell ref="A1:A2"/>
    <mergeCell ref="B1:D1"/>
    <mergeCell ref="E1:E2"/>
    <mergeCell ref="A3:A4"/>
    <mergeCell ref="E3:E4"/>
    <mergeCell ref="A5:A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5CD9-EFE5-474B-AD53-E7F3A22A8F65}">
  <dimension ref="A1:E13"/>
  <sheetViews>
    <sheetView tabSelected="1" workbookViewId="0">
      <selection activeCell="C16" sqref="C16"/>
    </sheetView>
  </sheetViews>
  <sheetFormatPr defaultRowHeight="15" x14ac:dyDescent="0.25"/>
  <cols>
    <col min="1" max="1" width="14.85546875" customWidth="1"/>
    <col min="2" max="2" width="14.7109375" customWidth="1"/>
    <col min="3" max="3" width="14.28515625" customWidth="1"/>
    <col min="4" max="4" width="14.7109375" customWidth="1"/>
    <col min="5" max="5" width="17.7109375" customWidth="1"/>
  </cols>
  <sheetData>
    <row r="1" spans="1:5" x14ac:dyDescent="0.25">
      <c r="A1" s="3" t="s">
        <v>0</v>
      </c>
      <c r="B1" s="9" t="s">
        <v>0</v>
      </c>
      <c r="C1" s="10"/>
      <c r="D1" s="11"/>
      <c r="E1" s="3" t="s">
        <v>1</v>
      </c>
    </row>
    <row r="2" spans="1:5" x14ac:dyDescent="0.25">
      <c r="A2" s="3"/>
      <c r="B2" s="6" t="s">
        <v>6</v>
      </c>
      <c r="C2" s="6" t="s">
        <v>7</v>
      </c>
      <c r="D2" s="6" t="s">
        <v>8</v>
      </c>
      <c r="E2" s="3"/>
    </row>
    <row r="3" spans="1:5" x14ac:dyDescent="0.25">
      <c r="A3" s="2" t="s">
        <v>2</v>
      </c>
      <c r="B3" s="5">
        <v>12000</v>
      </c>
      <c r="C3" s="5">
        <v>6000</v>
      </c>
      <c r="D3" s="5">
        <v>5000</v>
      </c>
      <c r="E3" s="7" t="s">
        <v>10</v>
      </c>
    </row>
    <row r="4" spans="1:5" ht="18.75" x14ac:dyDescent="0.25">
      <c r="A4" s="2"/>
      <c r="B4" s="12"/>
      <c r="C4" s="12">
        <v>30</v>
      </c>
      <c r="D4" s="12"/>
      <c r="E4" s="8"/>
    </row>
    <row r="5" spans="1:5" x14ac:dyDescent="0.25">
      <c r="A5" s="3" t="s">
        <v>3</v>
      </c>
      <c r="B5" s="5">
        <v>6000</v>
      </c>
      <c r="C5" s="5">
        <v>4000</v>
      </c>
      <c r="D5" s="5">
        <v>2000</v>
      </c>
      <c r="E5" s="7" t="s">
        <v>12</v>
      </c>
    </row>
    <row r="6" spans="1:5" ht="18.75" x14ac:dyDescent="0.25">
      <c r="A6" s="3"/>
      <c r="B6" s="12">
        <v>60</v>
      </c>
      <c r="C6" s="12"/>
      <c r="D6" s="12"/>
      <c r="E6" s="8"/>
    </row>
    <row r="7" spans="1:5" x14ac:dyDescent="0.25">
      <c r="A7" s="3" t="s">
        <v>4</v>
      </c>
      <c r="B7" s="5">
        <v>8000</v>
      </c>
      <c r="C7" s="5">
        <v>4000</v>
      </c>
      <c r="D7" s="5">
        <v>1000</v>
      </c>
      <c r="E7" s="7" t="s">
        <v>28</v>
      </c>
    </row>
    <row r="8" spans="1:5" ht="18.75" x14ac:dyDescent="0.25">
      <c r="A8" s="3"/>
      <c r="B8" s="12">
        <v>35</v>
      </c>
      <c r="C8" s="12">
        <v>25</v>
      </c>
      <c r="D8" s="12">
        <v>20</v>
      </c>
      <c r="E8" s="8"/>
    </row>
    <row r="9" spans="1:5" x14ac:dyDescent="0.25">
      <c r="A9" s="7" t="s">
        <v>9</v>
      </c>
      <c r="B9" s="5">
        <v>0</v>
      </c>
      <c r="C9" s="5">
        <v>0</v>
      </c>
      <c r="D9" s="5">
        <v>0</v>
      </c>
      <c r="E9" s="7" t="s">
        <v>16</v>
      </c>
    </row>
    <row r="10" spans="1:5" ht="18.75" x14ac:dyDescent="0.25">
      <c r="A10" s="8"/>
      <c r="B10" s="12">
        <v>5</v>
      </c>
      <c r="C10" s="12"/>
      <c r="D10" s="12"/>
      <c r="E10" s="8"/>
    </row>
    <row r="11" spans="1:5" x14ac:dyDescent="0.25">
      <c r="A11" s="1" t="s">
        <v>5</v>
      </c>
      <c r="B11" s="6" t="s">
        <v>27</v>
      </c>
      <c r="C11" s="6" t="s">
        <v>26</v>
      </c>
      <c r="D11" s="6" t="s">
        <v>15</v>
      </c>
      <c r="E11" s="1"/>
    </row>
    <row r="13" spans="1:5" x14ac:dyDescent="0.25">
      <c r="A13" t="s">
        <v>17</v>
      </c>
      <c r="B13">
        <f>B10*B9+B8*B7+B6*B5+C8*C7+C4*C3+D8*D7</f>
        <v>940000</v>
      </c>
    </row>
  </sheetData>
  <mergeCells count="11">
    <mergeCell ref="A7:A8"/>
    <mergeCell ref="E7:E8"/>
    <mergeCell ref="A9:A10"/>
    <mergeCell ref="E9:E10"/>
    <mergeCell ref="A1:A2"/>
    <mergeCell ref="B1:D1"/>
    <mergeCell ref="E1:E2"/>
    <mergeCell ref="A3:A4"/>
    <mergeCell ref="E3:E4"/>
    <mergeCell ref="A5:A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81B6-7AF2-405B-B11C-76D86D0D637B}">
  <dimension ref="A1:H11"/>
  <sheetViews>
    <sheetView workbookViewId="0">
      <selection activeCell="C13" sqref="C13"/>
    </sheetView>
  </sheetViews>
  <sheetFormatPr defaultRowHeight="15" x14ac:dyDescent="0.25"/>
  <cols>
    <col min="1" max="1" width="19.28515625" customWidth="1"/>
    <col min="2" max="2" width="13.28515625" customWidth="1"/>
    <col min="3" max="3" width="13.140625" customWidth="1"/>
    <col min="4" max="4" width="15.28515625" customWidth="1"/>
    <col min="5" max="5" width="13.7109375" customWidth="1"/>
    <col min="6" max="6" width="16.140625" customWidth="1"/>
  </cols>
  <sheetData>
    <row r="1" spans="1:8" ht="18" x14ac:dyDescent="0.25">
      <c r="A1" s="16" t="s">
        <v>19</v>
      </c>
      <c r="B1" s="17"/>
      <c r="C1" s="9" t="s">
        <v>18</v>
      </c>
      <c r="D1" s="10"/>
      <c r="E1" s="11"/>
    </row>
    <row r="2" spans="1:8" x14ac:dyDescent="0.25">
      <c r="A2" s="18"/>
      <c r="B2" s="19"/>
      <c r="C2" s="6" t="s">
        <v>6</v>
      </c>
      <c r="D2" s="6" t="s">
        <v>7</v>
      </c>
      <c r="E2" s="6" t="s">
        <v>8</v>
      </c>
    </row>
    <row r="3" spans="1:8" x14ac:dyDescent="0.25">
      <c r="A3" s="20"/>
      <c r="B3" s="21"/>
      <c r="C3" s="6">
        <v>12000</v>
      </c>
      <c r="D3" s="6">
        <v>8000</v>
      </c>
      <c r="E3" s="6">
        <v>5000</v>
      </c>
      <c r="G3" t="s">
        <v>20</v>
      </c>
      <c r="H3">
        <v>12000</v>
      </c>
    </row>
    <row r="4" spans="1:8" x14ac:dyDescent="0.25">
      <c r="A4" s="2" t="s">
        <v>2</v>
      </c>
      <c r="B4" s="13">
        <v>0</v>
      </c>
      <c r="C4" s="5">
        <v>12000</v>
      </c>
      <c r="D4" s="5">
        <v>6000</v>
      </c>
      <c r="E4" s="5">
        <v>5000</v>
      </c>
      <c r="G4" t="s">
        <v>21</v>
      </c>
      <c r="H4" s="22">
        <v>6000</v>
      </c>
    </row>
    <row r="5" spans="1:8" ht="18.75" x14ac:dyDescent="0.25">
      <c r="A5" s="2"/>
      <c r="B5" s="14"/>
      <c r="C5" s="12">
        <v>30</v>
      </c>
      <c r="D5" s="12"/>
      <c r="E5" s="12"/>
      <c r="G5" t="s">
        <v>22</v>
      </c>
      <c r="H5">
        <v>8000</v>
      </c>
    </row>
    <row r="6" spans="1:8" x14ac:dyDescent="0.25">
      <c r="A6" s="3" t="s">
        <v>3</v>
      </c>
      <c r="B6" s="7">
        <v>-6000</v>
      </c>
      <c r="C6" s="5">
        <v>6000</v>
      </c>
      <c r="D6" s="5">
        <v>4000</v>
      </c>
      <c r="E6" s="5">
        <v>2000</v>
      </c>
      <c r="G6" t="s">
        <v>23</v>
      </c>
      <c r="H6" s="22">
        <v>400</v>
      </c>
    </row>
    <row r="7" spans="1:8" ht="18.75" x14ac:dyDescent="0.25">
      <c r="A7" s="3"/>
      <c r="B7" s="8"/>
      <c r="C7" s="12">
        <v>60</v>
      </c>
      <c r="D7" s="12"/>
      <c r="E7" s="12"/>
      <c r="G7" t="s">
        <v>24</v>
      </c>
      <c r="H7">
        <v>1000</v>
      </c>
    </row>
    <row r="8" spans="1:8" x14ac:dyDescent="0.25">
      <c r="A8" s="3" t="s">
        <v>4</v>
      </c>
      <c r="B8" s="7">
        <v>-4000</v>
      </c>
      <c r="C8" s="5">
        <v>8000</v>
      </c>
      <c r="D8" s="5">
        <v>4000</v>
      </c>
      <c r="E8" s="5">
        <v>1000</v>
      </c>
      <c r="G8" t="s">
        <v>25</v>
      </c>
      <c r="H8" s="22">
        <v>0</v>
      </c>
    </row>
    <row r="9" spans="1:8" ht="18.75" x14ac:dyDescent="0.25">
      <c r="A9" s="3"/>
      <c r="B9" s="8"/>
      <c r="C9" s="12">
        <v>10</v>
      </c>
      <c r="D9" s="12">
        <v>50</v>
      </c>
      <c r="E9" s="12">
        <v>20</v>
      </c>
    </row>
    <row r="10" spans="1:8" x14ac:dyDescent="0.25">
      <c r="A10" s="7" t="s">
        <v>9</v>
      </c>
      <c r="B10" s="7">
        <v>-8000</v>
      </c>
      <c r="C10" s="5">
        <v>0</v>
      </c>
      <c r="D10" s="5">
        <v>0</v>
      </c>
      <c r="E10" s="5">
        <v>0</v>
      </c>
    </row>
    <row r="11" spans="1:8" ht="18.75" x14ac:dyDescent="0.25">
      <c r="A11" s="8"/>
      <c r="B11" s="8"/>
      <c r="C11" s="12"/>
      <c r="D11" s="12">
        <v>5</v>
      </c>
      <c r="E11" s="12"/>
    </row>
  </sheetData>
  <mergeCells count="10">
    <mergeCell ref="A10:A11"/>
    <mergeCell ref="A1:B3"/>
    <mergeCell ref="B4:B5"/>
    <mergeCell ref="B6:B7"/>
    <mergeCell ref="B8:B9"/>
    <mergeCell ref="B10:B11"/>
    <mergeCell ref="A4:A5"/>
    <mergeCell ref="A6:A7"/>
    <mergeCell ref="A8:A9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73FC-4A3E-43AD-A28E-3760391A0D7E}">
  <dimension ref="A1:E18"/>
  <sheetViews>
    <sheetView workbookViewId="0">
      <selection activeCell="D20" sqref="D20"/>
    </sheetView>
  </sheetViews>
  <sheetFormatPr defaultRowHeight="15" x14ac:dyDescent="0.25"/>
  <sheetData>
    <row r="1" spans="1:5" x14ac:dyDescent="0.25">
      <c r="A1" s="3" t="s">
        <v>0</v>
      </c>
      <c r="B1" s="9" t="s">
        <v>0</v>
      </c>
      <c r="C1" s="10"/>
      <c r="D1" s="11"/>
      <c r="E1" s="3" t="s">
        <v>1</v>
      </c>
    </row>
    <row r="2" spans="1:5" x14ac:dyDescent="0.25">
      <c r="A2" s="3"/>
      <c r="B2" s="6" t="s">
        <v>6</v>
      </c>
      <c r="C2" s="6" t="s">
        <v>7</v>
      </c>
      <c r="D2" s="6" t="s">
        <v>8</v>
      </c>
      <c r="E2" s="3"/>
    </row>
    <row r="3" spans="1:5" ht="15" customHeight="1" x14ac:dyDescent="0.25">
      <c r="A3" s="23" t="s">
        <v>2</v>
      </c>
      <c r="B3" s="5">
        <v>12000</v>
      </c>
      <c r="C3" s="5">
        <v>6000</v>
      </c>
      <c r="D3" s="5">
        <v>5000</v>
      </c>
      <c r="E3" s="15">
        <v>30</v>
      </c>
    </row>
    <row r="4" spans="1:5" x14ac:dyDescent="0.25">
      <c r="A4" s="4" t="s">
        <v>3</v>
      </c>
      <c r="B4" s="5">
        <v>6000</v>
      </c>
      <c r="C4" s="5">
        <v>4000</v>
      </c>
      <c r="D4" s="5">
        <v>2000</v>
      </c>
      <c r="E4" s="15">
        <v>60</v>
      </c>
    </row>
    <row r="5" spans="1:5" x14ac:dyDescent="0.25">
      <c r="A5" s="4" t="s">
        <v>4</v>
      </c>
      <c r="B5" s="5">
        <v>8000</v>
      </c>
      <c r="C5" s="5">
        <v>4000</v>
      </c>
      <c r="D5" s="5">
        <v>1000</v>
      </c>
      <c r="E5" s="15">
        <v>80</v>
      </c>
    </row>
    <row r="6" spans="1:5" x14ac:dyDescent="0.25">
      <c r="A6" s="15" t="s">
        <v>9</v>
      </c>
      <c r="B6" s="5">
        <v>0</v>
      </c>
      <c r="C6" s="5">
        <v>0</v>
      </c>
      <c r="D6" s="5">
        <v>0</v>
      </c>
      <c r="E6" s="15">
        <v>5</v>
      </c>
    </row>
    <row r="7" spans="1:5" x14ac:dyDescent="0.25">
      <c r="A7" s="1" t="s">
        <v>5</v>
      </c>
      <c r="B7" s="6">
        <v>100</v>
      </c>
      <c r="C7" s="6">
        <v>55</v>
      </c>
      <c r="D7" s="6">
        <v>20</v>
      </c>
      <c r="E7" s="1"/>
    </row>
    <row r="10" spans="1:5" x14ac:dyDescent="0.25">
      <c r="A10" s="3" t="s">
        <v>0</v>
      </c>
      <c r="B10" s="9" t="s">
        <v>0</v>
      </c>
      <c r="C10" s="10"/>
      <c r="D10" s="11"/>
      <c r="E10" s="3" t="s">
        <v>1</v>
      </c>
    </row>
    <row r="11" spans="1:5" x14ac:dyDescent="0.25">
      <c r="A11" s="3"/>
      <c r="B11" s="6" t="s">
        <v>6</v>
      </c>
      <c r="C11" s="6" t="s">
        <v>7</v>
      </c>
      <c r="D11" s="6" t="s">
        <v>8</v>
      </c>
      <c r="E11" s="3"/>
    </row>
    <row r="12" spans="1:5" ht="45" x14ac:dyDescent="0.25">
      <c r="A12" s="23" t="s">
        <v>2</v>
      </c>
      <c r="B12" s="5">
        <v>0</v>
      </c>
      <c r="C12" s="5">
        <v>30</v>
      </c>
      <c r="D12" s="5">
        <v>0</v>
      </c>
      <c r="E12" s="15">
        <f>SUM(B12:D12)</f>
        <v>30</v>
      </c>
    </row>
    <row r="13" spans="1:5" x14ac:dyDescent="0.25">
      <c r="A13" s="4" t="s">
        <v>3</v>
      </c>
      <c r="B13" s="5">
        <v>60</v>
      </c>
      <c r="C13" s="5">
        <v>0</v>
      </c>
      <c r="D13" s="5">
        <v>0</v>
      </c>
      <c r="E13" s="15">
        <f t="shared" ref="E13:E15" si="0">SUM(B13:D13)</f>
        <v>60</v>
      </c>
    </row>
    <row r="14" spans="1:5" x14ac:dyDescent="0.25">
      <c r="A14" s="4" t="s">
        <v>4</v>
      </c>
      <c r="B14" s="5">
        <v>35</v>
      </c>
      <c r="C14" s="5">
        <v>25</v>
      </c>
      <c r="D14" s="5">
        <v>20</v>
      </c>
      <c r="E14" s="15">
        <f t="shared" si="0"/>
        <v>80</v>
      </c>
    </row>
    <row r="15" spans="1:5" x14ac:dyDescent="0.25">
      <c r="A15" s="15" t="s">
        <v>9</v>
      </c>
      <c r="B15" s="5">
        <v>5</v>
      </c>
      <c r="C15" s="5">
        <v>0</v>
      </c>
      <c r="D15" s="5">
        <v>0</v>
      </c>
      <c r="E15" s="15">
        <f t="shared" si="0"/>
        <v>5</v>
      </c>
    </row>
    <row r="16" spans="1:5" x14ac:dyDescent="0.25">
      <c r="A16" s="1" t="s">
        <v>5</v>
      </c>
      <c r="B16" s="6">
        <f>SUM(B12:B15)</f>
        <v>100</v>
      </c>
      <c r="C16" s="6">
        <f t="shared" ref="C16:D16" si="1">SUM(C12:C15)</f>
        <v>55</v>
      </c>
      <c r="D16" s="6">
        <f t="shared" si="1"/>
        <v>20</v>
      </c>
      <c r="E16" s="1"/>
    </row>
    <row r="18" spans="1:2" x14ac:dyDescent="0.25">
      <c r="A18" t="s">
        <v>17</v>
      </c>
      <c r="B18">
        <f>SUMPRODUCT(B3:D6,B12:D15)</f>
        <v>940000</v>
      </c>
    </row>
  </sheetData>
  <mergeCells count="6">
    <mergeCell ref="A10:A11"/>
    <mergeCell ref="B10:D10"/>
    <mergeCell ref="E10:E11"/>
    <mergeCell ref="A1:A2"/>
    <mergeCell ref="B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Математич.</vt:lpstr>
      <vt:lpstr>Лист5</vt:lpstr>
      <vt:lpstr>СЗУ</vt:lpstr>
      <vt:lpstr>Мин. стоимость</vt:lpstr>
      <vt:lpstr>Метод потенциалов</vt:lpstr>
      <vt:lpstr>Поиск решений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2026-02-13T08:22:47Z</dcterms:modified>
</cp:coreProperties>
</file>