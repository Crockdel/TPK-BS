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54.TPK.005\Desktop\"/>
    </mc:Choice>
  </mc:AlternateContent>
  <xr:revisionPtr revIDLastSave="0" documentId="13_ncr:1_{410349C0-A0B5-462E-8DCC-BA9A05880612}" xr6:coauthVersionLast="45" xr6:coauthVersionMax="45" xr10:uidLastSave="{00000000-0000-0000-0000-000000000000}"/>
  <bookViews>
    <workbookView xWindow="-60" yWindow="-60" windowWidth="20610" windowHeight="10980" xr2:uid="{1703AC55-543B-435D-844B-50DB66311472}"/>
  </bookViews>
  <sheets>
    <sheet name="Лист1" sheetId="1" r:id="rId1"/>
  </sheets>
  <definedNames>
    <definedName name="solver_adj" localSheetId="0" hidden="1">Лист1!$H$2:$J$6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Лист1!$H$2:$J$6</definedName>
    <definedName name="solver_lhs2" localSheetId="0" hidden="1">Лист1!$H$7:$J$7</definedName>
    <definedName name="solver_lhs3" localSheetId="0" hidden="1">Лист1!$K$2:$K$6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Лист1!$I$9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2</definedName>
    <definedName name="solver_rel3" localSheetId="0" hidden="1">2</definedName>
    <definedName name="solver_rhs1" localSheetId="0" hidden="1">0</definedName>
    <definedName name="solver_rhs2" localSheetId="0" hidden="1">Лист1!$B$7:$D$7</definedName>
    <definedName name="solver_rhs3" localSheetId="0" hidden="1">Лист1!$E$2:$E$6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2" i="1"/>
  <c r="E8" i="1" l="1"/>
  <c r="F7" i="1"/>
  <c r="I9" i="1"/>
  <c r="J7" i="1"/>
  <c r="I7" i="1"/>
  <c r="H7" i="1"/>
</calcChain>
</file>

<file path=xl/sharedStrings.xml><?xml version="1.0" encoding="utf-8"?>
<sst xmlns="http://schemas.openxmlformats.org/spreadsheetml/2006/main" count="20" uniqueCount="20">
  <si>
    <t>Склады / Магазины</t>
  </si>
  <si>
    <t>Склад №1</t>
  </si>
  <si>
    <t>Склад №2</t>
  </si>
  <si>
    <t>Склад №3</t>
  </si>
  <si>
    <t>Склад №4</t>
  </si>
  <si>
    <t>Фиктивный</t>
  </si>
  <si>
    <t>Потребность</t>
  </si>
  <si>
    <t>№1</t>
  </si>
  <si>
    <t>№2</t>
  </si>
  <si>
    <t>№3</t>
  </si>
  <si>
    <t>Запасы</t>
  </si>
  <si>
    <t>Склад</t>
  </si>
  <si>
    <t>Магазин 1</t>
  </si>
  <si>
    <t>Магазин 2</t>
  </si>
  <si>
    <t>Магазин 3</t>
  </si>
  <si>
    <t>Запас</t>
  </si>
  <si>
    <t>Спрос</t>
  </si>
  <si>
    <t>5(ф)</t>
  </si>
  <si>
    <t>Cтоимость</t>
  </si>
  <si>
    <t>F(x)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</si>
</sst>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152400</xdr:rowOff>
    </xdr:from>
    <xdr:to>
      <xdr:col>3</xdr:col>
      <xdr:colOff>266700</xdr:colOff>
      <xdr:row>16</xdr:row>
      <xdr:rowOff>123825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2E4FCC1-6B78-4A40-8F4F-3224143FE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5900"/>
          <a:ext cx="2724150" cy="168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17</xdr:row>
      <xdr:rowOff>47625</xdr:rowOff>
    </xdr:from>
    <xdr:to>
      <xdr:col>9</xdr:col>
      <xdr:colOff>38100</xdr:colOff>
      <xdr:row>19</xdr:row>
      <xdr:rowOff>123825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FADDC7D-21A9-47A6-A688-D7C78FAF3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6125"/>
          <a:ext cx="61531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1F378-0BA1-4ECD-952D-FD6E8BA7A288}">
  <dimension ref="A1:K9"/>
  <sheetViews>
    <sheetView tabSelected="1" workbookViewId="0">
      <selection activeCell="K2" sqref="K2"/>
    </sheetView>
  </sheetViews>
  <sheetFormatPr defaultRowHeight="15" x14ac:dyDescent="0.25"/>
  <cols>
    <col min="1" max="1" width="18.5703125" customWidth="1"/>
    <col min="7" max="7" width="11.42578125" customWidth="1"/>
    <col min="8" max="8" width="10.85546875" customWidth="1"/>
    <col min="9" max="9" width="11" customWidth="1"/>
    <col min="10" max="10" width="10.85546875" customWidth="1"/>
  </cols>
  <sheetData>
    <row r="1" spans="1:11" x14ac:dyDescent="0.2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</row>
    <row r="2" spans="1:11" x14ac:dyDescent="0.25">
      <c r="A2" s="1" t="s">
        <v>1</v>
      </c>
      <c r="B2" s="1">
        <v>4</v>
      </c>
      <c r="C2" s="1">
        <v>5</v>
      </c>
      <c r="D2" s="1">
        <v>7</v>
      </c>
      <c r="E2" s="1">
        <v>100</v>
      </c>
      <c r="G2" s="2">
        <v>1</v>
      </c>
      <c r="H2" s="2">
        <v>100</v>
      </c>
      <c r="I2" s="2">
        <v>0</v>
      </c>
      <c r="J2" s="2">
        <v>0</v>
      </c>
      <c r="K2" s="1">
        <f>SUM(H2:J2)</f>
        <v>100</v>
      </c>
    </row>
    <row r="3" spans="1:11" x14ac:dyDescent="0.25">
      <c r="A3" s="1" t="s">
        <v>2</v>
      </c>
      <c r="B3" s="1">
        <v>8</v>
      </c>
      <c r="C3" s="1">
        <v>6</v>
      </c>
      <c r="D3" s="1">
        <v>1</v>
      </c>
      <c r="E3" s="1">
        <v>120</v>
      </c>
      <c r="G3" s="2">
        <v>2</v>
      </c>
      <c r="H3" s="2">
        <v>0</v>
      </c>
      <c r="I3" s="2">
        <v>0</v>
      </c>
      <c r="J3" s="2">
        <v>120</v>
      </c>
      <c r="K3" s="1">
        <f t="shared" ref="K3:K6" si="0">SUM(H3:J3)</f>
        <v>120</v>
      </c>
    </row>
    <row r="4" spans="1:11" x14ac:dyDescent="0.25">
      <c r="A4" s="1" t="s">
        <v>3</v>
      </c>
      <c r="B4" s="1">
        <v>2</v>
      </c>
      <c r="C4" s="1">
        <v>2</v>
      </c>
      <c r="D4" s="1">
        <v>6</v>
      </c>
      <c r="E4" s="1">
        <v>70</v>
      </c>
      <c r="G4" s="2">
        <v>3</v>
      </c>
      <c r="H4" s="2">
        <v>70</v>
      </c>
      <c r="I4" s="2">
        <v>0</v>
      </c>
      <c r="J4" s="2">
        <v>0</v>
      </c>
      <c r="K4" s="1">
        <f t="shared" si="0"/>
        <v>70</v>
      </c>
    </row>
    <row r="5" spans="1:11" x14ac:dyDescent="0.25">
      <c r="A5" s="1" t="s">
        <v>4</v>
      </c>
      <c r="B5" s="1">
        <v>5</v>
      </c>
      <c r="C5" s="1">
        <v>2</v>
      </c>
      <c r="D5" s="1">
        <v>5</v>
      </c>
      <c r="E5" s="1">
        <v>60</v>
      </c>
      <c r="G5" s="2">
        <v>4</v>
      </c>
      <c r="H5" s="2">
        <v>0</v>
      </c>
      <c r="I5" s="2">
        <v>60</v>
      </c>
      <c r="J5" s="2">
        <v>0</v>
      </c>
      <c r="K5" s="1">
        <f t="shared" si="0"/>
        <v>60</v>
      </c>
    </row>
    <row r="6" spans="1:11" x14ac:dyDescent="0.25">
      <c r="A6" s="1" t="s">
        <v>5</v>
      </c>
      <c r="B6" s="1">
        <v>0</v>
      </c>
      <c r="C6" s="1">
        <v>0</v>
      </c>
      <c r="D6" s="1">
        <v>0</v>
      </c>
      <c r="E6" s="1">
        <v>90</v>
      </c>
      <c r="G6" s="1" t="s">
        <v>17</v>
      </c>
      <c r="H6" s="2">
        <v>30</v>
      </c>
      <c r="I6" s="2">
        <v>40</v>
      </c>
      <c r="J6" s="2">
        <v>20</v>
      </c>
      <c r="K6" s="1">
        <f t="shared" si="0"/>
        <v>90</v>
      </c>
    </row>
    <row r="7" spans="1:11" x14ac:dyDescent="0.25">
      <c r="A7" s="1" t="s">
        <v>6</v>
      </c>
      <c r="B7" s="1">
        <v>200</v>
      </c>
      <c r="C7" s="1">
        <v>100</v>
      </c>
      <c r="D7" s="1">
        <v>140</v>
      </c>
      <c r="E7" s="1"/>
      <c r="F7" s="3">
        <f>SUM(B7:D7)</f>
        <v>440</v>
      </c>
      <c r="G7" s="1" t="s">
        <v>16</v>
      </c>
      <c r="H7" s="1">
        <f>SUM(H2:H6)</f>
        <v>200</v>
      </c>
      <c r="I7" s="1">
        <f>SUM(I2:I6)</f>
        <v>100</v>
      </c>
      <c r="J7" s="1">
        <f>SUM(J2:J6)</f>
        <v>140</v>
      </c>
      <c r="K7" s="1"/>
    </row>
    <row r="8" spans="1:11" ht="15.75" thickBot="1" x14ac:dyDescent="0.3">
      <c r="E8">
        <f>SUM(E2:E6)</f>
        <v>440</v>
      </c>
    </row>
    <row r="9" spans="1:11" ht="15.75" thickBot="1" x14ac:dyDescent="0.3">
      <c r="G9" t="s">
        <v>18</v>
      </c>
      <c r="H9" s="4" t="s">
        <v>19</v>
      </c>
      <c r="I9" s="5">
        <f>SUMPRODUCT($B$2:$D$6,$H$2:$J$6)</f>
        <v>780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K2:K5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каб54</dc:creator>
  <cp:lastModifiedBy>Студент каб54</cp:lastModifiedBy>
  <dcterms:created xsi:type="dcterms:W3CDTF">2026-02-13T07:05:23Z</dcterms:created>
  <dcterms:modified xsi:type="dcterms:W3CDTF">2026-02-13T08:16:12Z</dcterms:modified>
</cp:coreProperties>
</file>