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имплекс\"/>
    </mc:Choice>
  </mc:AlternateContent>
  <bookViews>
    <workbookView xWindow="0" yWindow="0" windowWidth="19125" windowHeight="10800"/>
  </bookViews>
  <sheets>
    <sheet name="Лист1" sheetId="1" r:id="rId1"/>
  </sheets>
  <definedNames>
    <definedName name="solver_adj" localSheetId="0" hidden="1">Лист1!$M$18:$O$18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Лист1!$H$17</definedName>
    <definedName name="solver_lhs2" localSheetId="0" hidden="1">Лист1!$H$18</definedName>
    <definedName name="solver_lhs3" localSheetId="0" hidden="1">Лист1!$M$18:$O$18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Лист1!$R$17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4</definedName>
    <definedName name="solver_rhs1" localSheetId="0" hidden="1">Лист1!$J$17</definedName>
    <definedName name="solver_rhs2" localSheetId="0" hidden="1">Лист1!$J$18</definedName>
    <definedName name="solver_rhs3" localSheetId="0" hidden="1">"целое"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1" l="1"/>
  <c r="H18" i="1"/>
  <c r="H17" i="1"/>
  <c r="P3" i="1"/>
  <c r="P4" i="1"/>
</calcChain>
</file>

<file path=xl/sharedStrings.xml><?xml version="1.0" encoding="utf-8"?>
<sst xmlns="http://schemas.openxmlformats.org/spreadsheetml/2006/main" count="31" uniqueCount="29">
  <si>
    <t>Поле</t>
  </si>
  <si>
    <t>Размер поля</t>
  </si>
  <si>
    <t>Культуры</t>
  </si>
  <si>
    <t>Пшеница</t>
  </si>
  <si>
    <t>Кукуруза</t>
  </si>
  <si>
    <t>Гречиха</t>
  </si>
  <si>
    <t>max</t>
  </si>
  <si>
    <t>План по культурам</t>
  </si>
  <si>
    <t>Определить:</t>
  </si>
  <si>
    <t>План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</si>
  <si>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</si>
  <si>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</si>
  <si>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</si>
  <si>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</si>
  <si>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</si>
  <si>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</si>
  <si>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</si>
  <si>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</si>
  <si>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t>I</t>
  </si>
  <si>
    <r>
      <t>→x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</si>
  <si>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t>Индексная строка</t>
  </si>
  <si>
    <r>
      <t>Θ</t>
    </r>
    <r>
      <rPr>
        <sz val="11"/>
        <color theme="1"/>
        <rFont val="Calibri"/>
        <family val="2"/>
      </rPr>
      <t>, min</t>
    </r>
  </si>
  <si>
    <t>Опеределить</t>
  </si>
  <si>
    <t>Переменные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</si>
  <si>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</si>
  <si>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</si>
  <si>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</si>
  <si>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t>&lt;=</t>
  </si>
  <si>
    <t>Целевая функция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</si>
</sst>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wrapText="1"/>
    </xf>
    <xf numFmtId="0" fontId="1" fillId="0" borderId="1" xfId="1" applyBorder="1"/>
    <xf numFmtId="0" fontId="5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0" fillId="0" borderId="1" xfId="0" applyBorder="1"/>
    <xf numFmtId="0" fontId="1" fillId="0" borderId="1" xfId="1" applyFill="1" applyBorder="1"/>
    <xf numFmtId="0" fontId="0" fillId="2" borderId="1" xfId="0" applyFill="1" applyBorder="1"/>
    <xf numFmtId="0" fontId="8" fillId="0" borderId="0" xfId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1" fillId="3" borderId="0" xfId="1" applyFill="1" applyBorder="1" applyAlignment="1">
      <alignment horizontal="center" vertical="center" wrapText="1"/>
    </xf>
    <xf numFmtId="0" fontId="1" fillId="0" borderId="0" xfId="1" applyBorder="1"/>
    <xf numFmtId="0" fontId="5" fillId="3" borderId="0" xfId="1" applyFont="1" applyFill="1" applyBorder="1" applyAlignment="1">
      <alignment horizontal="center" vertical="center"/>
    </xf>
    <xf numFmtId="0" fontId="1" fillId="3" borderId="0" xfId="1" applyFill="1" applyBorder="1" applyAlignment="1">
      <alignment horizontal="center" vertical="center"/>
    </xf>
    <xf numFmtId="0" fontId="0" fillId="0" borderId="0" xfId="0" applyBorder="1"/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center" textRotation="90" wrapText="1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1001806</xdr:colOff>
      <xdr:row>5</xdr:row>
      <xdr:rowOff>488576</xdr:rowOff>
    </xdr:from>
    <xdr:to>
      <xdr:col>1</xdr:col>
      <xdr:colOff>982756</xdr:colOff>
      <xdr:row>6</xdr:row>
      <xdr:rowOff>224117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CA83258-6B27-93D1-055E-E23732861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06" y="1609164"/>
          <a:ext cx="1224803" cy="307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123824</xdr:colOff>
      <xdr:row>24</xdr:row>
      <xdr:rowOff>38660</xdr:rowOff>
    </xdr:from>
    <xdr:to>
      <xdr:col>2</xdr:col>
      <xdr:colOff>317686</xdr:colOff>
      <xdr:row>28</xdr:row>
      <xdr:rowOff>124385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9A8E26-B0C5-D8CC-FC89-324C5744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" y="4610660"/>
          <a:ext cx="2659156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247650</xdr:colOff>
      <xdr:row>11</xdr:row>
      <xdr:rowOff>19050</xdr:rowOff>
    </xdr:from>
    <xdr:to>
      <xdr:col>2</xdr:col>
      <xdr:colOff>619125</xdr:colOff>
      <xdr:row>12</xdr:row>
      <xdr:rowOff>57150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3EE56A-AC0E-83FC-F47E-7EB224744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14550"/>
          <a:ext cx="28384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123825</xdr:colOff>
      <xdr:row>20</xdr:row>
      <xdr:rowOff>102533</xdr:rowOff>
    </xdr:from>
    <xdr:to>
      <xdr:col>2</xdr:col>
      <xdr:colOff>675155</xdr:colOff>
      <xdr:row>23</xdr:row>
      <xdr:rowOff>150158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840CC84-FD0C-19C4-AF65-CF09C182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912533"/>
          <a:ext cx="3016624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304800</xdr:colOff>
      <xdr:row>13</xdr:row>
      <xdr:rowOff>206188</xdr:rowOff>
    </xdr:from>
    <xdr:to>
      <xdr:col>1</xdr:col>
      <xdr:colOff>1123950</xdr:colOff>
      <xdr:row>14</xdr:row>
      <xdr:rowOff>123265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FE6F28B-4448-B3A3-9C09-EE5BA81D0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814482"/>
          <a:ext cx="2063003" cy="488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16</xdr:row>
      <xdr:rowOff>133350</xdr:rowOff>
    </xdr:from>
    <xdr:to>
      <xdr:col>2</xdr:col>
      <xdr:colOff>790575</xdr:colOff>
      <xdr:row>20</xdr:row>
      <xdr:rowOff>57150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192B35D-62A7-45C3-AA92-614EF0C6D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181350"/>
          <a:ext cx="31527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124558</xdr:colOff>
      <xdr:row>5</xdr:row>
      <xdr:rowOff>212481</xdr:rowOff>
    </xdr:from>
    <xdr:to>
      <xdr:col>8</xdr:col>
      <xdr:colOff>505558</xdr:colOff>
      <xdr:row>5</xdr:row>
      <xdr:rowOff>441081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98F39B9-1C4B-47D1-BEF6-A1A18958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154" y="1311519"/>
          <a:ext cx="3810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101112</xdr:colOff>
      <xdr:row>9</xdr:row>
      <xdr:rowOff>203688</xdr:rowOff>
    </xdr:from>
    <xdr:to>
      <xdr:col>8</xdr:col>
      <xdr:colOff>482112</xdr:colOff>
      <xdr:row>9</xdr:row>
      <xdr:rowOff>432288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98F39B9-1C4B-47D1-BEF6-A1A18958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9708" y="2555630"/>
          <a:ext cx="3810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114300</xdr:colOff>
      <xdr:row>13</xdr:row>
      <xdr:rowOff>180241</xdr:rowOff>
    </xdr:from>
    <xdr:to>
      <xdr:col>8</xdr:col>
      <xdr:colOff>495300</xdr:colOff>
      <xdr:row>13</xdr:row>
      <xdr:rowOff>408841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98F39B9-1C4B-47D1-BEF6-A1A18958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2896" y="3785087"/>
          <a:ext cx="3810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zoomScale="70" zoomScaleNormal="70" workbookViewId="0">
      <selection activeCell="P28" sqref="P28"/>
    </sheetView>
  </sheetViews>
  <sheetFormatPr defaultRowHeight="15" x14ac:dyDescent="0.25"/>
  <cols>
    <col min="1" max="1" width="18.7109375" customWidth="1"/>
    <col min="2" max="2" width="18.28515625" customWidth="1"/>
    <col min="3" max="3" width="17.85546875" customWidth="1"/>
    <col min="5" max="5" width="12.7109375" customWidth="1"/>
    <col min="15" max="15" width="9" customWidth="1"/>
    <col min="16" max="16" width="9.140625" customWidth="1"/>
    <col min="17" max="17" width="3.42578125" hidden="1" customWidth="1"/>
    <col min="18" max="18" width="9.42578125" customWidth="1"/>
    <col min="19" max="19" width="12.7109375" customWidth="1"/>
  </cols>
  <sheetData>
    <row r="1" spans="1:18" ht="18" x14ac:dyDescent="0.25">
      <c r="A1" s="31" t="s">
        <v>0</v>
      </c>
      <c r="B1" s="31" t="s">
        <v>1</v>
      </c>
      <c r="C1" s="30" t="s">
        <v>2</v>
      </c>
      <c r="D1" s="30"/>
      <c r="E1" s="30"/>
      <c r="H1" s="25" t="s">
        <v>9</v>
      </c>
      <c r="I1" s="28" t="s">
        <v>10</v>
      </c>
      <c r="J1" s="28" t="s">
        <v>11</v>
      </c>
      <c r="K1" s="22" t="s">
        <v>12</v>
      </c>
      <c r="L1" s="23"/>
      <c r="M1" s="23"/>
      <c r="N1" s="23"/>
      <c r="O1" s="24"/>
      <c r="P1" s="9" t="s">
        <v>21</v>
      </c>
      <c r="Q1" s="8"/>
    </row>
    <row r="2" spans="1:18" ht="18" x14ac:dyDescent="0.25">
      <c r="A2" s="32"/>
      <c r="B2" s="32"/>
      <c r="C2" s="1" t="s">
        <v>3</v>
      </c>
      <c r="D2" s="1" t="s">
        <v>4</v>
      </c>
      <c r="E2" s="1" t="s">
        <v>5</v>
      </c>
      <c r="H2" s="25"/>
      <c r="I2" s="28"/>
      <c r="J2" s="28"/>
      <c r="K2" s="2" t="s">
        <v>13</v>
      </c>
      <c r="L2" s="6" t="s">
        <v>14</v>
      </c>
      <c r="M2" s="2" t="s">
        <v>15</v>
      </c>
      <c r="N2" s="2" t="s">
        <v>16</v>
      </c>
      <c r="O2" s="2" t="s">
        <v>17</v>
      </c>
      <c r="P2" s="7"/>
    </row>
    <row r="3" spans="1:18" ht="18" x14ac:dyDescent="0.25">
      <c r="A3" s="1">
        <v>1</v>
      </c>
      <c r="B3" s="1">
        <v>1000</v>
      </c>
      <c r="C3" s="1">
        <v>107</v>
      </c>
      <c r="D3" s="1">
        <v>2010</v>
      </c>
      <c r="E3" s="1">
        <v>615</v>
      </c>
      <c r="H3" s="29" t="s">
        <v>18</v>
      </c>
      <c r="I3" s="2" t="s">
        <v>16</v>
      </c>
      <c r="J3" s="2">
        <v>1000</v>
      </c>
      <c r="K3" s="2">
        <v>107</v>
      </c>
      <c r="L3" s="2">
        <v>2010</v>
      </c>
      <c r="M3" s="2">
        <v>615</v>
      </c>
      <c r="N3" s="2">
        <v>1</v>
      </c>
      <c r="O3" s="2">
        <v>0</v>
      </c>
      <c r="P3" s="5">
        <f>J3/107</f>
        <v>9.3457943925233646</v>
      </c>
    </row>
    <row r="4" spans="1:18" ht="18" customHeight="1" x14ac:dyDescent="0.25">
      <c r="A4" s="1">
        <v>2</v>
      </c>
      <c r="B4" s="1">
        <v>800</v>
      </c>
      <c r="C4" s="1">
        <v>128</v>
      </c>
      <c r="D4" s="1">
        <v>2412</v>
      </c>
      <c r="E4" s="1">
        <v>520</v>
      </c>
      <c r="H4" s="29"/>
      <c r="I4" s="25" t="s">
        <v>19</v>
      </c>
      <c r="J4" s="25">
        <v>800</v>
      </c>
      <c r="K4" s="25">
        <v>128</v>
      </c>
      <c r="L4" s="25">
        <v>2412</v>
      </c>
      <c r="M4" s="26">
        <v>520</v>
      </c>
      <c r="N4" s="25">
        <v>0</v>
      </c>
      <c r="O4" s="25">
        <v>1</v>
      </c>
      <c r="P4" s="27">
        <f>J4/K4</f>
        <v>6.25</v>
      </c>
    </row>
    <row r="5" spans="1:18" x14ac:dyDescent="0.25">
      <c r="A5" s="1" t="s">
        <v>7</v>
      </c>
      <c r="B5" s="1" t="s">
        <v>6</v>
      </c>
      <c r="C5" s="1">
        <v>120</v>
      </c>
      <c r="D5" s="1">
        <v>70</v>
      </c>
      <c r="E5" s="1">
        <v>15</v>
      </c>
      <c r="H5" s="29"/>
      <c r="I5" s="25"/>
      <c r="J5" s="25"/>
      <c r="K5" s="25"/>
      <c r="L5" s="25"/>
      <c r="M5" s="26"/>
      <c r="N5" s="25"/>
      <c r="O5" s="25"/>
      <c r="P5" s="27"/>
    </row>
    <row r="6" spans="1:18" ht="45" x14ac:dyDescent="0.25">
      <c r="H6" s="4" t="s">
        <v>20</v>
      </c>
      <c r="I6" s="5"/>
      <c r="J6" s="2"/>
      <c r="K6" s="2">
        <v>-120</v>
      </c>
      <c r="L6" s="2">
        <v>-70</v>
      </c>
      <c r="M6" s="3">
        <v>-15</v>
      </c>
      <c r="N6" s="2">
        <v>0</v>
      </c>
      <c r="O6" s="2">
        <v>0</v>
      </c>
      <c r="P6" s="5"/>
    </row>
    <row r="7" spans="1:18" ht="15.75" x14ac:dyDescent="0.25">
      <c r="A7" t="s">
        <v>8</v>
      </c>
      <c r="H7" s="20"/>
      <c r="I7" s="13"/>
      <c r="J7" s="14"/>
      <c r="K7" s="14"/>
      <c r="L7" s="20"/>
      <c r="M7" s="14"/>
      <c r="N7" s="14"/>
      <c r="O7" s="14"/>
      <c r="P7" s="15"/>
    </row>
    <row r="8" spans="1:18" ht="18" customHeight="1" x14ac:dyDescent="0.25">
      <c r="H8" s="20"/>
      <c r="I8" s="14"/>
      <c r="J8" s="14"/>
      <c r="K8" s="14"/>
      <c r="L8" s="14"/>
      <c r="M8" s="14"/>
      <c r="N8" s="14"/>
      <c r="O8" s="14"/>
      <c r="P8" s="16"/>
    </row>
    <row r="9" spans="1:18" ht="18" customHeight="1" x14ac:dyDescent="0.25">
      <c r="H9" s="20"/>
      <c r="I9" s="14"/>
      <c r="J9" s="14"/>
      <c r="K9" s="14"/>
      <c r="L9" s="14"/>
      <c r="M9" s="14"/>
      <c r="N9" s="14"/>
      <c r="O9" s="14"/>
      <c r="P9" s="14"/>
    </row>
    <row r="10" spans="1:18" x14ac:dyDescent="0.25">
      <c r="H10" s="17"/>
      <c r="I10" s="18"/>
      <c r="J10" s="14"/>
      <c r="K10" s="14"/>
      <c r="L10" s="15"/>
      <c r="M10" s="14"/>
      <c r="N10" s="14"/>
      <c r="O10" s="14"/>
      <c r="P10" s="14"/>
    </row>
    <row r="11" spans="1:18" x14ac:dyDescent="0.25">
      <c r="H11" s="20"/>
      <c r="I11" s="19"/>
      <c r="J11" s="18"/>
      <c r="K11" s="18"/>
      <c r="L11" s="18"/>
      <c r="M11" s="18"/>
      <c r="N11" s="18"/>
      <c r="O11" s="18"/>
      <c r="P11" s="18"/>
    </row>
    <row r="12" spans="1:18" x14ac:dyDescent="0.25">
      <c r="H12" s="20"/>
      <c r="I12" s="19"/>
      <c r="J12" s="18"/>
      <c r="K12" s="18"/>
      <c r="L12" s="18"/>
      <c r="M12" s="18"/>
      <c r="N12" s="18"/>
      <c r="O12" s="18"/>
      <c r="P12" s="18"/>
    </row>
    <row r="13" spans="1:18" x14ac:dyDescent="0.25">
      <c r="H13" s="20"/>
      <c r="I13" s="14"/>
      <c r="J13" s="18"/>
      <c r="K13" s="18"/>
      <c r="L13" s="18"/>
      <c r="M13" s="18"/>
      <c r="N13" s="18"/>
      <c r="O13" s="18"/>
      <c r="P13" s="18"/>
    </row>
    <row r="14" spans="1:18" x14ac:dyDescent="0.25">
      <c r="H14" s="17"/>
      <c r="I14" s="18"/>
      <c r="J14" s="18"/>
      <c r="K14" s="18"/>
      <c r="L14" s="18"/>
      <c r="M14" s="18"/>
      <c r="N14" s="18"/>
      <c r="O14" s="18"/>
      <c r="P14" s="18"/>
    </row>
    <row r="15" spans="1:18" x14ac:dyDescent="0.25">
      <c r="H15" s="21"/>
      <c r="I15" s="21"/>
      <c r="J15" s="21"/>
      <c r="K15" s="21"/>
    </row>
    <row r="16" spans="1:18" x14ac:dyDescent="0.25">
      <c r="H16" t="s">
        <v>22</v>
      </c>
      <c r="M16" t="s">
        <v>23</v>
      </c>
      <c r="R16" t="s">
        <v>28</v>
      </c>
    </row>
    <row r="17" spans="8:18" ht="18" x14ac:dyDescent="0.35">
      <c r="H17" s="10">
        <f>SUMPRODUCT(C3:E3,M18:O18)</f>
        <v>642</v>
      </c>
      <c r="I17" s="10" t="s">
        <v>27</v>
      </c>
      <c r="J17" s="11">
        <v>1000</v>
      </c>
      <c r="M17" s="10" t="s">
        <v>24</v>
      </c>
      <c r="N17" s="10" t="s">
        <v>25</v>
      </c>
      <c r="O17" s="10" t="s">
        <v>26</v>
      </c>
      <c r="R17" s="12">
        <f>SUMPRODUCT(C5:E5,M18:O18)</f>
        <v>720</v>
      </c>
    </row>
    <row r="18" spans="8:18" x14ac:dyDescent="0.25">
      <c r="H18" s="10">
        <f>SUMPRODUCT(C4:E4,M18:O18)</f>
        <v>768</v>
      </c>
      <c r="I18" s="10" t="s">
        <v>27</v>
      </c>
      <c r="J18" s="11">
        <v>800</v>
      </c>
      <c r="M18" s="12">
        <v>6</v>
      </c>
      <c r="N18" s="12">
        <v>0</v>
      </c>
      <c r="O18" s="12">
        <v>0</v>
      </c>
    </row>
  </sheetData>
  <mergeCells count="16">
    <mergeCell ref="P4:P5"/>
    <mergeCell ref="J1:J2"/>
    <mergeCell ref="H3:H5"/>
    <mergeCell ref="C1:E1"/>
    <mergeCell ref="A1:A2"/>
    <mergeCell ref="B1:B2"/>
    <mergeCell ref="H1:H2"/>
    <mergeCell ref="I1:I2"/>
    <mergeCell ref="K1:O1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56</cp:lastModifiedBy>
  <dcterms:created xsi:type="dcterms:W3CDTF">2015-06-05T18:19:34Z</dcterms:created>
  <dcterms:modified xsi:type="dcterms:W3CDTF">2026-02-02T06:32:29Z</dcterms:modified>
</cp:coreProperties>
</file>