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П-40 ММ\"/>
    </mc:Choice>
  </mc:AlternateContent>
  <xr:revisionPtr revIDLastSave="0" documentId="13_ncr:1_{018EF6DF-99F1-48FF-B082-867B8701D49F}" xr6:coauthVersionLast="47" xr6:coauthVersionMax="47" xr10:uidLastSave="{00000000-0000-0000-0000-000000000000}"/>
  <bookViews>
    <workbookView xWindow="-120" yWindow="330" windowWidth="29040" windowHeight="15390" xr2:uid="{00000000-000D-0000-FFFF-FFFF00000000}"/>
  </bookViews>
  <sheets>
    <sheet name="Лист1" sheetId="1" r:id="rId1"/>
    <sheet name="Лист2" sheetId="2" r:id="rId2"/>
  </sheets>
  <definedNames>
    <definedName name="solver_adj" localSheetId="1" hidden="1">Лист2!$L$3:$N$3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Лист2!$G$2</definedName>
    <definedName name="solver_lhs2" localSheetId="1" hidden="1">Лист2!$G$3</definedName>
    <definedName name="solver_lhs3" localSheetId="1" hidden="1">Лист2!$G$4</definedName>
    <definedName name="solver_lhs4" localSheetId="1" hidden="1">Лист2!$L$3:$N$3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4</definedName>
    <definedName name="solver_nwt" localSheetId="1" hidden="1">1</definedName>
    <definedName name="solver_opt" localSheetId="1" hidden="1">Лист2!$P$3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el2" localSheetId="1" hidden="1">1</definedName>
    <definedName name="solver_rel3" localSheetId="1" hidden="1">1</definedName>
    <definedName name="solver_rel4" localSheetId="1" hidden="1">4</definedName>
    <definedName name="solver_rhs1" localSheetId="1" hidden="1">Лист2!$I$2</definedName>
    <definedName name="solver_rhs2" localSheetId="1" hidden="1">Лист2!$I$3</definedName>
    <definedName name="solver_rhs3" localSheetId="1" hidden="1">Лист2!$I$4</definedName>
    <definedName name="solver_rhs4" localSheetId="1" hidden="1">"целое"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2" l="1"/>
  <c r="G4" i="2"/>
  <c r="G3" i="2"/>
  <c r="G2" i="2"/>
  <c r="Q9" i="1"/>
  <c r="Q7" i="1"/>
  <c r="K10" i="1"/>
  <c r="L10" i="1"/>
  <c r="M10" i="1"/>
  <c r="N10" i="1"/>
  <c r="O10" i="1"/>
  <c r="P10" i="1"/>
  <c r="J10" i="1"/>
  <c r="K9" i="1"/>
  <c r="L9" i="1"/>
  <c r="M9" i="1"/>
  <c r="N9" i="1"/>
  <c r="O9" i="1"/>
  <c r="P9" i="1"/>
  <c r="J9" i="1"/>
  <c r="M7" i="1"/>
  <c r="K7" i="1"/>
  <c r="L7" i="1"/>
  <c r="N7" i="1"/>
  <c r="O7" i="1"/>
  <c r="P7" i="1"/>
  <c r="J7" i="1"/>
  <c r="L8" i="1"/>
  <c r="M8" i="1"/>
  <c r="N8" i="1"/>
  <c r="O8" i="1"/>
  <c r="P8" i="1"/>
  <c r="K8" i="1"/>
  <c r="Q5" i="1"/>
  <c r="Q4" i="1"/>
  <c r="Q3" i="1"/>
</calcChain>
</file>

<file path=xl/sharedStrings.xml><?xml version="1.0" encoding="utf-8"?>
<sst xmlns="http://schemas.openxmlformats.org/spreadsheetml/2006/main" count="57" uniqueCount="34">
  <si>
    <t>Группа A</t>
  </si>
  <si>
    <t>Группа B</t>
  </si>
  <si>
    <t>Группа С</t>
  </si>
  <si>
    <r>
      <t>Материально-денежные ресурсы, b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</si>
  <si>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Норма затрат материально-денежных ресурсов aij на 1 тыс.руб.</t>
  </si>
  <si>
    <t>Виды материально-денежных ресурсов</t>
  </si>
  <si>
    <t>Первый вид</t>
  </si>
  <si>
    <t>Второй вид</t>
  </si>
  <si>
    <t>Третий вид</t>
  </si>
  <si>
    <t>Доход от продажи, тыс.руб.</t>
  </si>
  <si>
    <t>max</t>
  </si>
  <si>
    <t>Определить</t>
  </si>
  <si>
    <t>План</t>
  </si>
  <si>
    <t>Базисные переменные</t>
  </si>
  <si>
    <t>Значения базисных перемнных</t>
  </si>
  <si>
    <r>
      <t>Значения коэффициентов, a</t>
    </r>
    <r>
      <rPr>
        <vertAlign val="subscript"/>
        <sz val="11"/>
        <color theme="1"/>
        <rFont val="Calibri"/>
        <family val="2"/>
        <charset val="204"/>
        <scheme val="minor"/>
      </rPr>
      <t>ij</t>
    </r>
  </si>
  <si>
    <r>
      <rPr>
        <sz val="11"/>
        <color theme="1"/>
        <rFont val="Symbol"/>
        <family val="1"/>
        <charset val="2"/>
      </rPr>
      <t>Q</t>
    </r>
    <r>
      <rPr>
        <sz val="11"/>
        <color theme="1"/>
        <rFont val="Calibri"/>
        <family val="2"/>
        <charset val="204"/>
      </rPr>
      <t>, min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</si>
  <si>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</si>
  <si>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4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</si>
  <si>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5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</si>
  <si>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6</t>
    </r>
  </si>
  <si>
    <t>I</t>
  </si>
  <si>
    <t>Индексная строка</t>
  </si>
  <si>
    <t>II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</si>
  <si>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</si>
  <si>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</si>
  <si>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rPr>
        <sz val="11"/>
        <rFont val="Calibri"/>
        <family val="2"/>
        <charset val="204"/>
        <scheme val="minor"/>
      </rPr>
      <t>x</t>
    </r>
    <r>
      <rPr>
        <vertAlign val="subscript"/>
        <sz val="11"/>
        <rFont val="Calibri"/>
        <family val="2"/>
        <charset val="204"/>
        <scheme val="minor"/>
      </rPr>
      <t>2</t>
    </r>
  </si>
  <si>
    <r>
      <rPr>
        <sz val="11"/>
        <color rgb="FFFF0000"/>
        <rFont val="Calibri"/>
        <family val="2"/>
        <charset val="204"/>
        <scheme val="minor"/>
      </rPr>
      <t>x</t>
    </r>
    <r>
      <rPr>
        <vertAlign val="subscript"/>
        <sz val="11"/>
        <color rgb="FFFF0000"/>
        <rFont val="Calibri"/>
        <family val="2"/>
        <charset val="204"/>
        <scheme val="minor"/>
      </rPr>
      <t>1</t>
    </r>
  </si>
  <si>
    <r>
      <t>&gt;x</t>
    </r>
    <r>
      <rPr>
        <vertAlign val="subscript"/>
        <sz val="11"/>
        <color theme="1"/>
        <rFont val="Calibri"/>
        <family val="2"/>
        <charset val="204"/>
        <scheme val="minor"/>
      </rPr>
      <t>5</t>
    </r>
  </si>
  <si>
    <t>&lt;=</t>
  </si>
  <si>
    <t>x1</t>
  </si>
  <si>
    <t>x2</t>
  </si>
  <si>
    <t>x3</t>
  </si>
  <si>
    <t>Целевая функция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</si>
</sst>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3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  <family val="1"/>
      <charset val="2"/>
    </font>
    <font>
      <sz val="11"/>
      <color theme="1"/>
      <name val="Symbol"/>
      <family val="1"/>
      <charset val="2"/>
    </font>
    <font>
      <vertAlign val="subscript"/>
      <sz val="11"/>
      <color rgb="FFFF0000"/>
      <name val="Calibri"/>
      <family val="2"/>
      <charset val="204"/>
      <scheme val="minor"/>
    </font>
    <font>
      <sz val="11"/>
      <color rgb="FF00B05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vertAlign val="subscript"/>
      <sz val="11"/>
      <name val="Calibri"/>
      <family val="2"/>
      <charset val="204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textRotation="90" wrapText="1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11" fillId="3" borderId="1" xfId="0" applyNumberFormat="1" applyFont="1" applyFill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 applyBorder="1"/>
    <xf numFmtId="0" fontId="0" fillId="4" borderId="1" xfId="0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1019176</xdr:colOff>
      <xdr:row>7</xdr:row>
      <xdr:rowOff>57150</xdr:rowOff>
    </xdr:from>
    <xdr:ext cx="952500" cy="1946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60C396A-325F-49ED-B78A-D5825DE5CF38}"/>
                </a:ext>
              </a:extLst>
            </xdr:cNvPr>
            <xdr:cNvSpPr txBox="1"/>
          </xdr:nvSpPr>
          <xdr:spPr>
            <a:xfrm>
              <a:off x="1019176" y="2314575"/>
              <a:ext cx="952500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bar>
                    <m:barPr>
                      <m:pos m:val="top"/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bar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𝑋</m:t>
                      </m:r>
                    </m:e>
                  </m:bar>
                </m:oMath>
              </a14:m>
              <a:r>
                <a:rPr lang="en-US" sz="1100"/>
                <a:t> = (x</a:t>
              </a:r>
              <a:r>
                <a:rPr lang="en-US" sz="1100" baseline="-25000"/>
                <a:t>1</a:t>
              </a:r>
              <a:r>
                <a:rPr lang="en-US" sz="1100"/>
                <a:t>,x</a:t>
              </a:r>
              <a:r>
                <a:rPr lang="en-US" sz="1100" baseline="-25000"/>
                <a:t>2</a:t>
              </a:r>
              <a:r>
                <a:rPr lang="en-US" sz="1100"/>
                <a:t>,x</a:t>
              </a:r>
              <a:r>
                <a:rPr lang="en-US" sz="1100" baseline="-25000"/>
                <a:t>3</a:t>
              </a:r>
              <a:r>
                <a:rPr lang="en-US" sz="1100"/>
                <a:t>)</a:t>
              </a:r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60C396A-325F-49ED-B78A-D5825DE5CF38}"/>
                </a:ext>
              </a:extLst>
            </xdr:cNvPr>
            <xdr:cNvSpPr txBox="1"/>
          </xdr:nvSpPr>
          <xdr:spPr>
            <a:xfrm>
              <a:off x="1019176" y="2314575"/>
              <a:ext cx="952500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¯</a:t>
              </a:r>
              <a:r>
                <a:rPr lang="en-US" sz="1100" b="0" i="0">
                  <a:latin typeface="Cambria Math" panose="02040503050406030204" pitchFamily="18" charset="0"/>
                </a:rPr>
                <a:t>𝑋</a:t>
              </a:r>
              <a:r>
                <a:rPr lang="en-US" sz="1100"/>
                <a:t> = (x</a:t>
              </a:r>
              <a:r>
                <a:rPr lang="en-US" sz="1100" baseline="-25000"/>
                <a:t>1</a:t>
              </a:r>
              <a:r>
                <a:rPr lang="en-US" sz="1100"/>
                <a:t>,x</a:t>
              </a:r>
              <a:r>
                <a:rPr lang="en-US" sz="1100" baseline="-25000"/>
                <a:t>2</a:t>
              </a:r>
              <a:r>
                <a:rPr lang="en-US" sz="1100"/>
                <a:t>,x</a:t>
              </a:r>
              <a:r>
                <a:rPr lang="en-US" sz="1100" baseline="-25000"/>
                <a:t>3</a:t>
              </a:r>
              <a:r>
                <a:rPr lang="en-US" sz="1100"/>
                <a:t>)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76200</xdr:colOff>
      <xdr:row>9</xdr:row>
      <xdr:rowOff>47625</xdr:rowOff>
    </xdr:from>
    <xdr:to>
      <xdr:col>1</xdr:col>
      <xdr:colOff>171450</xdr:colOff>
      <xdr:row>13</xdr:row>
      <xdr:rowOff>152400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65DD097B-3B18-9D08-A17F-1B3F4D024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2762250"/>
          <a:ext cx="2076450" cy="1362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14</xdr:row>
      <xdr:rowOff>152400</xdr:rowOff>
    </xdr:from>
    <xdr:to>
      <xdr:col>1</xdr:col>
      <xdr:colOff>504825</xdr:colOff>
      <xdr:row>16</xdr:row>
      <xdr:rowOff>19050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74B8C63C-64C5-165C-01B5-929B7499D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209925"/>
          <a:ext cx="24479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47625</xdr:colOff>
      <xdr:row>5</xdr:row>
      <xdr:rowOff>47625</xdr:rowOff>
    </xdr:from>
    <xdr:to>
      <xdr:col>8</xdr:col>
      <xdr:colOff>495300</xdr:colOff>
      <xdr:row>5</xdr:row>
      <xdr:rowOff>295275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8AA4A64-1DA5-4D95-B267-2FCA7824D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25400" y="16478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85725</xdr:colOff>
      <xdr:row>9</xdr:row>
      <xdr:rowOff>95250</xdr:rowOff>
    </xdr:from>
    <xdr:to>
      <xdr:col>8</xdr:col>
      <xdr:colOff>533400</xdr:colOff>
      <xdr:row>9</xdr:row>
      <xdr:rowOff>342900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AB64587-8E5F-4ADF-9D9C-275DBFF03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0" y="2714625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85725</xdr:colOff>
      <xdr:row>13</xdr:row>
      <xdr:rowOff>104775</xdr:rowOff>
    </xdr:from>
    <xdr:to>
      <xdr:col>8</xdr:col>
      <xdr:colOff>533400</xdr:colOff>
      <xdr:row>13</xdr:row>
      <xdr:rowOff>352425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B17B157B-8038-4712-8A73-25D0F4876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63500" y="3790950"/>
          <a:ext cx="44767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1000126</xdr:colOff>
      <xdr:row>7</xdr:row>
      <xdr:rowOff>0</xdr:rowOff>
    </xdr:from>
    <xdr:ext cx="952500" cy="1946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0D6D4A4-9CA7-4C18-BFEF-A920E04BA5C2}"/>
                </a:ext>
              </a:extLst>
            </xdr:cNvPr>
            <xdr:cNvSpPr txBox="1"/>
          </xdr:nvSpPr>
          <xdr:spPr>
            <a:xfrm>
              <a:off x="1000126" y="1485900"/>
              <a:ext cx="952500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bar>
                    <m:barPr>
                      <m:pos m:val="top"/>
                      <m:ctrlPr>
                        <a:rPr lang="ru-RU" sz="1100" i="1">
                          <a:latin typeface="Cambria Math" panose="02040503050406030204" pitchFamily="18" charset="0"/>
                        </a:rPr>
                      </m:ctrlPr>
                    </m:bar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𝑋</m:t>
                      </m:r>
                    </m:e>
                  </m:bar>
                </m:oMath>
              </a14:m>
              <a:r>
                <a:rPr lang="en-US" sz="1100"/>
                <a:t> = (x</a:t>
              </a:r>
              <a:r>
                <a:rPr lang="en-US" sz="1100" baseline="-25000"/>
                <a:t>1</a:t>
              </a:r>
              <a:r>
                <a:rPr lang="en-US" sz="1100"/>
                <a:t>,x</a:t>
              </a:r>
              <a:r>
                <a:rPr lang="en-US" sz="1100" baseline="-25000"/>
                <a:t>2</a:t>
              </a:r>
              <a:r>
                <a:rPr lang="en-US" sz="1100"/>
                <a:t>,x</a:t>
              </a:r>
              <a:r>
                <a:rPr lang="en-US" sz="1100" baseline="-25000"/>
                <a:t>3</a:t>
              </a:r>
              <a:r>
                <a:rPr lang="en-US" sz="1100"/>
                <a:t>)</a:t>
              </a:r>
              <a:endParaRPr lang="ru-RU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0D6D4A4-9CA7-4C18-BFEF-A920E04BA5C2}"/>
                </a:ext>
              </a:extLst>
            </xdr:cNvPr>
            <xdr:cNvSpPr txBox="1"/>
          </xdr:nvSpPr>
          <xdr:spPr>
            <a:xfrm>
              <a:off x="1000126" y="1485900"/>
              <a:ext cx="952500" cy="1946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¯</a:t>
              </a:r>
              <a:r>
                <a:rPr lang="en-US" sz="1100" b="0" i="0">
                  <a:latin typeface="Cambria Math" panose="02040503050406030204" pitchFamily="18" charset="0"/>
                </a:rPr>
                <a:t>𝑋</a:t>
              </a:r>
              <a:r>
                <a:rPr lang="en-US" sz="1100"/>
                <a:t> = (x</a:t>
              </a:r>
              <a:r>
                <a:rPr lang="en-US" sz="1100" baseline="-25000"/>
                <a:t>1</a:t>
              </a:r>
              <a:r>
                <a:rPr lang="en-US" sz="1100"/>
                <a:t>,x</a:t>
              </a:r>
              <a:r>
                <a:rPr lang="en-US" sz="1100" baseline="-25000"/>
                <a:t>2</a:t>
              </a:r>
              <a:r>
                <a:rPr lang="en-US" sz="1100"/>
                <a:t>,x</a:t>
              </a:r>
              <a:r>
                <a:rPr lang="en-US" sz="1100" baseline="-25000"/>
                <a:t>3</a:t>
              </a:r>
              <a:r>
                <a:rPr lang="en-US" sz="1100"/>
                <a:t>)</a:t>
              </a:r>
              <a:endParaRPr lang="ru-RU" sz="1100"/>
            </a:p>
          </xdr:txBody>
        </xdr:sp>
      </mc:Fallback>
    </mc:AlternateContent>
    <xdr:clientData/>
  </xdr:oneCellAnchor>
  <xdr:twoCellAnchor>
    <xdr:from>
      <xdr:col>0</xdr:col>
      <xdr:colOff>57150</xdr:colOff>
      <xdr:row>8</xdr:row>
      <xdr:rowOff>171451</xdr:rowOff>
    </xdr:from>
    <xdr:to>
      <xdr:col>0</xdr:col>
      <xdr:colOff>1524000</xdr:colOff>
      <xdr:row>13</xdr:row>
      <xdr:rowOff>181151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747628C-3119-4C59-9CC7-DCCFBEA58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1847851"/>
          <a:ext cx="1466850" cy="962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28575</xdr:colOff>
      <xdr:row>14</xdr:row>
      <xdr:rowOff>161925</xdr:rowOff>
    </xdr:from>
    <xdr:to>
      <xdr:col>2</xdr:col>
      <xdr:colOff>104775</xdr:colOff>
      <xdr:row>16</xdr:row>
      <xdr:rowOff>28575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88560A04-CA21-497D-8D37-0DE1A4716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981325"/>
          <a:ext cx="2447925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"/>
  <sheetViews>
    <sheetView tabSelected="1" workbookViewId="0">
      <selection activeCell="M8" sqref="M8"/>
    </sheetView>
  </sheetViews>
  <sheetFormatPr defaultRowHeight="15"/>
  <cols>
    <col min="1" max="1" width="29.7109375" customWidth="1"/>
    <col min="2" max="2" width="12.42578125" customWidth="1"/>
    <col min="3" max="3" width="11.7109375" customWidth="1"/>
    <col min="4" max="4" width="13.7109375" customWidth="1"/>
    <col min="5" max="5" width="13.42578125" customWidth="1"/>
    <col min="12" max="13" width="9.5703125" bestFit="1" customWidth="1"/>
  </cols>
  <sheetData>
    <row r="1" spans="1:17" ht="34.5" customHeight="1">
      <c r="A1" s="4" t="s">
        <v>5</v>
      </c>
      <c r="B1" s="4" t="s">
        <v>4</v>
      </c>
      <c r="C1" s="4"/>
      <c r="D1" s="4"/>
      <c r="E1" s="4" t="s">
        <v>3</v>
      </c>
      <c r="H1" s="5" t="s">
        <v>12</v>
      </c>
      <c r="I1" s="6" t="s">
        <v>13</v>
      </c>
      <c r="J1" s="6" t="s">
        <v>14</v>
      </c>
      <c r="K1" s="5" t="s">
        <v>15</v>
      </c>
      <c r="L1" s="5"/>
      <c r="M1" s="5"/>
      <c r="N1" s="5"/>
      <c r="O1" s="5"/>
      <c r="P1" s="5"/>
      <c r="Q1" s="7" t="s">
        <v>16</v>
      </c>
    </row>
    <row r="2" spans="1:17" ht="26.25" customHeight="1">
      <c r="A2" s="4"/>
      <c r="B2" s="1" t="s">
        <v>0</v>
      </c>
      <c r="C2" s="1" t="s">
        <v>1</v>
      </c>
      <c r="D2" s="1" t="s">
        <v>2</v>
      </c>
      <c r="E2" s="4"/>
      <c r="H2" s="5"/>
      <c r="I2" s="6"/>
      <c r="J2" s="6"/>
      <c r="K2" s="8" t="s">
        <v>27</v>
      </c>
      <c r="L2" s="10" t="s">
        <v>26</v>
      </c>
      <c r="M2" s="3" t="s">
        <v>17</v>
      </c>
      <c r="N2" s="3" t="s">
        <v>18</v>
      </c>
      <c r="O2" s="3" t="s">
        <v>19</v>
      </c>
      <c r="P2" s="3" t="s">
        <v>20</v>
      </c>
      <c r="Q2" s="5"/>
    </row>
    <row r="3" spans="1:17" ht="18">
      <c r="A3" s="2" t="s">
        <v>6</v>
      </c>
      <c r="B3" s="3">
        <v>16</v>
      </c>
      <c r="C3" s="3">
        <v>18</v>
      </c>
      <c r="D3" s="3">
        <v>9</v>
      </c>
      <c r="E3" s="3">
        <v>520</v>
      </c>
      <c r="H3" s="5" t="s">
        <v>21</v>
      </c>
      <c r="I3" s="11" t="s">
        <v>18</v>
      </c>
      <c r="J3" s="3">
        <v>520</v>
      </c>
      <c r="K3" s="3">
        <v>16</v>
      </c>
      <c r="L3" s="3">
        <v>18</v>
      </c>
      <c r="M3" s="3">
        <v>9</v>
      </c>
      <c r="N3" s="3">
        <v>1</v>
      </c>
      <c r="O3" s="3">
        <v>0</v>
      </c>
      <c r="P3" s="3">
        <v>0</v>
      </c>
      <c r="Q3" s="3">
        <f>J3/K3</f>
        <v>32.5</v>
      </c>
    </row>
    <row r="4" spans="1:17" ht="18">
      <c r="A4" s="2" t="s">
        <v>7</v>
      </c>
      <c r="B4" s="3">
        <v>7</v>
      </c>
      <c r="C4" s="3">
        <v>7</v>
      </c>
      <c r="D4" s="3">
        <v>2</v>
      </c>
      <c r="E4" s="3">
        <v>140</v>
      </c>
      <c r="H4" s="5"/>
      <c r="I4" s="3" t="s">
        <v>28</v>
      </c>
      <c r="J4" s="3">
        <v>140</v>
      </c>
      <c r="K4" s="14">
        <v>7</v>
      </c>
      <c r="L4" s="3">
        <v>7</v>
      </c>
      <c r="M4" s="3">
        <v>2</v>
      </c>
      <c r="N4" s="3">
        <v>0</v>
      </c>
      <c r="O4" s="3">
        <v>1</v>
      </c>
      <c r="P4" s="3">
        <v>0</v>
      </c>
      <c r="Q4" s="13">
        <f>J4/K4</f>
        <v>20</v>
      </c>
    </row>
    <row r="5" spans="1:17" ht="18">
      <c r="A5" s="2" t="s">
        <v>8</v>
      </c>
      <c r="B5" s="3">
        <v>9</v>
      </c>
      <c r="C5" s="3">
        <v>2</v>
      </c>
      <c r="D5" s="3">
        <v>3</v>
      </c>
      <c r="E5" s="3">
        <v>810</v>
      </c>
      <c r="H5" s="5"/>
      <c r="I5" s="3" t="s">
        <v>20</v>
      </c>
      <c r="J5" s="3">
        <v>810</v>
      </c>
      <c r="K5" s="3">
        <v>9</v>
      </c>
      <c r="L5" s="3">
        <v>2</v>
      </c>
      <c r="M5" s="3">
        <v>3</v>
      </c>
      <c r="N5" s="3">
        <v>0</v>
      </c>
      <c r="O5" s="3">
        <v>0</v>
      </c>
      <c r="P5" s="3">
        <v>1</v>
      </c>
      <c r="Q5" s="3">
        <f>J5/K5</f>
        <v>90</v>
      </c>
    </row>
    <row r="6" spans="1:17" ht="45">
      <c r="A6" s="2" t="s">
        <v>9</v>
      </c>
      <c r="B6" s="3">
        <v>8</v>
      </c>
      <c r="C6" s="3">
        <v>6</v>
      </c>
      <c r="D6" s="3">
        <v>4</v>
      </c>
      <c r="E6" s="3" t="s">
        <v>10</v>
      </c>
      <c r="H6" s="9" t="s">
        <v>22</v>
      </c>
      <c r="I6" s="3"/>
      <c r="J6" s="3">
        <v>0</v>
      </c>
      <c r="K6" s="3">
        <v>-8</v>
      </c>
      <c r="L6" s="3">
        <v>-6</v>
      </c>
      <c r="M6" s="3">
        <v>-4</v>
      </c>
      <c r="N6" s="3">
        <v>0</v>
      </c>
      <c r="O6" s="3">
        <v>0</v>
      </c>
      <c r="P6" s="3">
        <v>0</v>
      </c>
      <c r="Q6" s="3"/>
    </row>
    <row r="7" spans="1:17" ht="18">
      <c r="H7" s="5" t="s">
        <v>23</v>
      </c>
      <c r="I7" s="3" t="s">
        <v>18</v>
      </c>
      <c r="J7" s="3">
        <f>J3-(J4*$K$3)/$K$4</f>
        <v>200</v>
      </c>
      <c r="K7" s="3">
        <f t="shared" ref="K7:P7" si="0">K3-(K4*$K$3)/$K$4</f>
        <v>0</v>
      </c>
      <c r="L7" s="3">
        <f t="shared" si="0"/>
        <v>2</v>
      </c>
      <c r="M7" s="15">
        <f>M3-(M4*$K$3)/$K$4</f>
        <v>4.4285714285714288</v>
      </c>
      <c r="N7" s="3">
        <f t="shared" si="0"/>
        <v>1</v>
      </c>
      <c r="O7" s="15">
        <f t="shared" si="0"/>
        <v>-2.2857142857142856</v>
      </c>
      <c r="P7" s="3">
        <f t="shared" si="0"/>
        <v>0</v>
      </c>
      <c r="Q7" s="3">
        <f>J7/O7</f>
        <v>-87.5</v>
      </c>
    </row>
    <row r="8" spans="1:17" ht="18">
      <c r="A8" t="s">
        <v>11</v>
      </c>
      <c r="H8" s="5"/>
      <c r="I8" s="11" t="s">
        <v>25</v>
      </c>
      <c r="J8" s="3">
        <v>20</v>
      </c>
      <c r="K8" s="3">
        <f>L4/$K$4</f>
        <v>1</v>
      </c>
      <c r="L8" s="15">
        <f t="shared" ref="L8:P8" si="1">M4/$K$4</f>
        <v>0.2857142857142857</v>
      </c>
      <c r="M8" s="3">
        <f t="shared" si="1"/>
        <v>0</v>
      </c>
      <c r="N8" s="15">
        <f t="shared" si="1"/>
        <v>0.14285714285714285</v>
      </c>
      <c r="O8" s="20">
        <f t="shared" si="1"/>
        <v>0</v>
      </c>
      <c r="P8" s="15">
        <f t="shared" si="1"/>
        <v>2.8571428571428572</v>
      </c>
      <c r="Q8" s="12">
        <v>0</v>
      </c>
    </row>
    <row r="9" spans="1:17" ht="18">
      <c r="H9" s="5"/>
      <c r="I9" s="3" t="s">
        <v>20</v>
      </c>
      <c r="J9" s="3">
        <f>J5-(J4*$K$5)/$K$4</f>
        <v>630</v>
      </c>
      <c r="K9" s="3">
        <f t="shared" ref="K9:P9" si="2">K5-(K4*$K$5)/$K$4</f>
        <v>0</v>
      </c>
      <c r="L9" s="3">
        <f t="shared" si="2"/>
        <v>-7</v>
      </c>
      <c r="M9" s="15">
        <f t="shared" si="2"/>
        <v>0.42857142857142838</v>
      </c>
      <c r="N9" s="3">
        <f t="shared" si="2"/>
        <v>0</v>
      </c>
      <c r="O9" s="15">
        <f t="shared" si="2"/>
        <v>-1.2857142857142858</v>
      </c>
      <c r="P9" s="3">
        <f t="shared" si="2"/>
        <v>1</v>
      </c>
      <c r="Q9" s="3">
        <f>J9/O9</f>
        <v>-489.99999999999994</v>
      </c>
    </row>
    <row r="10" spans="1:17" ht="45">
      <c r="H10" s="9" t="s">
        <v>22</v>
      </c>
      <c r="I10" s="2"/>
      <c r="J10" s="3">
        <f>J6-(J4*$K$6)/$K$4</f>
        <v>160</v>
      </c>
      <c r="K10" s="3">
        <f t="shared" ref="K10:P10" si="3">K6-(K4*$K$6)/$K$4</f>
        <v>0</v>
      </c>
      <c r="L10" s="3">
        <f t="shared" si="3"/>
        <v>2</v>
      </c>
      <c r="M10" s="16">
        <f t="shared" si="3"/>
        <v>-1.7142857142857144</v>
      </c>
      <c r="N10" s="3">
        <f t="shared" si="3"/>
        <v>0</v>
      </c>
      <c r="O10" s="17">
        <f t="shared" si="3"/>
        <v>1.1428571428571428</v>
      </c>
      <c r="P10" s="3">
        <f t="shared" si="3"/>
        <v>0</v>
      </c>
      <c r="Q10" s="3"/>
    </row>
    <row r="11" spans="1:17" ht="18">
      <c r="H11" s="5" t="s">
        <v>21</v>
      </c>
      <c r="I11" s="3" t="s">
        <v>24</v>
      </c>
      <c r="J11" s="3"/>
      <c r="K11" s="3"/>
      <c r="L11" s="3"/>
      <c r="M11" s="3"/>
      <c r="N11" s="3"/>
      <c r="O11" s="3"/>
      <c r="P11" s="3"/>
      <c r="Q11" s="3"/>
    </row>
    <row r="12" spans="1:17" ht="18">
      <c r="H12" s="5"/>
      <c r="I12" s="3" t="s">
        <v>25</v>
      </c>
      <c r="J12" s="3"/>
      <c r="K12" s="3"/>
      <c r="L12" s="3"/>
      <c r="M12" s="3"/>
      <c r="N12" s="3"/>
      <c r="O12" s="3"/>
      <c r="P12" s="3"/>
      <c r="Q12" s="3"/>
    </row>
    <row r="13" spans="1:17" ht="18">
      <c r="H13" s="5"/>
      <c r="I13" s="3" t="s">
        <v>20</v>
      </c>
      <c r="J13" s="3"/>
      <c r="K13" s="3"/>
      <c r="L13" s="3"/>
      <c r="M13" s="3"/>
      <c r="N13" s="3"/>
      <c r="O13" s="3"/>
      <c r="P13" s="3"/>
      <c r="Q13" s="3"/>
    </row>
    <row r="14" spans="1:17" ht="45">
      <c r="H14" s="9" t="s">
        <v>22</v>
      </c>
      <c r="I14" s="1"/>
      <c r="J14" s="3"/>
      <c r="K14" s="3"/>
      <c r="L14" s="3"/>
      <c r="M14" s="3"/>
      <c r="N14" s="3"/>
      <c r="O14" s="3"/>
      <c r="P14" s="3"/>
      <c r="Q14" s="3"/>
    </row>
  </sheetData>
  <mergeCells count="11">
    <mergeCell ref="H11:H13"/>
    <mergeCell ref="J1:J2"/>
    <mergeCell ref="K1:P1"/>
    <mergeCell ref="Q1:Q2"/>
    <mergeCell ref="H3:H5"/>
    <mergeCell ref="H7:H9"/>
    <mergeCell ref="A1:A2"/>
    <mergeCell ref="B1:D1"/>
    <mergeCell ref="E1:E2"/>
    <mergeCell ref="H1:H2"/>
    <mergeCell ref="I1:I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E3061-652A-4E92-9CA2-665E7F8001D8}">
  <dimension ref="A1:P8"/>
  <sheetViews>
    <sheetView workbookViewId="0">
      <selection activeCell="P3" sqref="P3"/>
    </sheetView>
  </sheetViews>
  <sheetFormatPr defaultRowHeight="15"/>
  <cols>
    <col min="1" max="1" width="26.42578125" customWidth="1"/>
    <col min="4" max="4" width="24.42578125" customWidth="1"/>
    <col min="16" max="16" width="18.42578125" customWidth="1"/>
  </cols>
  <sheetData>
    <row r="1" spans="1:16" ht="26.25" customHeight="1">
      <c r="A1" s="4" t="s">
        <v>5</v>
      </c>
      <c r="B1" s="4" t="s">
        <v>4</v>
      </c>
      <c r="C1" s="4"/>
      <c r="D1" s="4"/>
      <c r="E1" s="4" t="s">
        <v>3</v>
      </c>
    </row>
    <row r="2" spans="1:16" ht="15.75" customHeight="1">
      <c r="A2" s="4"/>
      <c r="B2" s="1" t="s">
        <v>0</v>
      </c>
      <c r="C2" s="1" t="s">
        <v>1</v>
      </c>
      <c r="D2" s="1" t="s">
        <v>2</v>
      </c>
      <c r="E2" s="4"/>
      <c r="G2">
        <f>SUMPRODUCT(B3:D3,L3:N3)</f>
        <v>517</v>
      </c>
      <c r="H2" t="s">
        <v>29</v>
      </c>
      <c r="I2">
        <v>520</v>
      </c>
      <c r="L2" s="18" t="s">
        <v>30</v>
      </c>
      <c r="M2" s="18" t="s">
        <v>31</v>
      </c>
      <c r="N2" s="18" t="s">
        <v>32</v>
      </c>
      <c r="P2" s="19" t="s">
        <v>33</v>
      </c>
    </row>
    <row r="3" spans="1:16">
      <c r="A3" s="2" t="s">
        <v>6</v>
      </c>
      <c r="B3" s="3">
        <v>16</v>
      </c>
      <c r="C3" s="3">
        <v>18</v>
      </c>
      <c r="D3" s="3">
        <v>9</v>
      </c>
      <c r="E3" s="3">
        <v>520</v>
      </c>
      <c r="G3">
        <f>SUMPRODUCT(B4:D4,L3:N3)</f>
        <v>139</v>
      </c>
      <c r="H3" t="s">
        <v>29</v>
      </c>
      <c r="I3">
        <v>140</v>
      </c>
      <c r="L3" s="18">
        <v>7</v>
      </c>
      <c r="M3" s="18">
        <v>0</v>
      </c>
      <c r="N3" s="18">
        <v>45</v>
      </c>
      <c r="P3">
        <f>SUMPRODUCT(B6:D6,L3:N3)</f>
        <v>236</v>
      </c>
    </row>
    <row r="4" spans="1:16">
      <c r="A4" s="2" t="s">
        <v>7</v>
      </c>
      <c r="B4" s="3">
        <v>7</v>
      </c>
      <c r="C4" s="3">
        <v>7</v>
      </c>
      <c r="D4" s="3">
        <v>2</v>
      </c>
      <c r="E4" s="3">
        <v>140</v>
      </c>
      <c r="G4">
        <f>SUMPRODUCT(B5:D5,L3:N3)</f>
        <v>198</v>
      </c>
      <c r="H4" t="s">
        <v>29</v>
      </c>
      <c r="I4">
        <v>810</v>
      </c>
    </row>
    <row r="5" spans="1:16">
      <c r="A5" s="2" t="s">
        <v>8</v>
      </c>
      <c r="B5" s="3">
        <v>9</v>
      </c>
      <c r="C5" s="3">
        <v>2</v>
      </c>
      <c r="D5" s="3">
        <v>3</v>
      </c>
      <c r="E5" s="3">
        <v>810</v>
      </c>
    </row>
    <row r="6" spans="1:16">
      <c r="A6" s="2" t="s">
        <v>9</v>
      </c>
      <c r="B6" s="3">
        <v>8</v>
      </c>
      <c r="C6" s="3">
        <v>6</v>
      </c>
      <c r="D6" s="3">
        <v>4</v>
      </c>
      <c r="E6" s="3" t="s">
        <v>10</v>
      </c>
    </row>
    <row r="8" spans="1:16">
      <c r="A8" t="s">
        <v>11</v>
      </c>
    </row>
  </sheetData>
  <mergeCells count="3">
    <mergeCell ref="A1:A2"/>
    <mergeCell ref="B1:D1"/>
    <mergeCell ref="E1:E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каб 52</dc:creator>
  <cp:lastModifiedBy>Студент каб 52</cp:lastModifiedBy>
  <dcterms:created xsi:type="dcterms:W3CDTF">2015-06-05T18:19:34Z</dcterms:created>
  <dcterms:modified xsi:type="dcterms:W3CDTF">2026-01-29T10:25:01Z</dcterms:modified>
</cp:coreProperties>
</file>