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xr:revisionPtr revIDLastSave="0" documentId="13_ncr:1_{B5753CB6-7717-48AD-B1BC-41B3C5DC213F}" xr6:coauthVersionLast="47" xr6:coauthVersionMax="47" xr10:uidLastSave="{00000000-0000-0000-0000-000000000000}"/>
  <bookViews>
    <workbookView xWindow="2475" yWindow="3465" windowWidth="13995" windowHeight="11235" xr2:uid="{4E098AB6-4331-43BA-8821-C333B78B0586}"/>
  </bookViews>
  <sheets>
    <sheet name="Поиск решений" sheetId="1" r:id="rId1"/>
    <sheet name="Симплекс метод" sheetId="2" r:id="rId2"/>
  </sheets>
  <definedNames>
    <definedName name="solver_adj" localSheetId="0" hidden="1">'Поиск решений'!$N$11:$N$12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'Поиск решений'!$H$11</definedName>
    <definedName name="solver_lhs2" localSheetId="0" hidden="1">'Поиск решений'!$H$12</definedName>
    <definedName name="solver_lhs3" localSheetId="0" hidden="1">'Поиск решений'!$H$13</definedName>
    <definedName name="solver_lhs4" localSheetId="0" hidden="1">'Поиск решений'!$H$14</definedName>
    <definedName name="solver_lhs5" localSheetId="0" hidden="1">'Поиск решений'!$N$11:$N$12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'Поиск решений'!$Q$11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4</definedName>
    <definedName name="solver_rhs1" localSheetId="0" hidden="1">'Поиск решений'!$J$11</definedName>
    <definedName name="solver_rhs2" localSheetId="0" hidden="1">'Поиск решений'!$J$12</definedName>
    <definedName name="solver_rhs3" localSheetId="0" hidden="1">'Поиск решений'!$J$13</definedName>
    <definedName name="solver_rhs4" localSheetId="0" hidden="1">'Поиск решений'!$J$14</definedName>
    <definedName name="solver_rhs5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2" l="1"/>
  <c r="Q22" i="2"/>
  <c r="R22" i="2"/>
  <c r="S22" i="2"/>
  <c r="T22" i="2"/>
  <c r="O22" i="2"/>
  <c r="N22" i="2"/>
  <c r="P21" i="2"/>
  <c r="Q21" i="2"/>
  <c r="R21" i="2"/>
  <c r="S21" i="2"/>
  <c r="O21" i="2"/>
  <c r="P20" i="2"/>
  <c r="Q20" i="2"/>
  <c r="R20" i="2"/>
  <c r="S20" i="2"/>
  <c r="O20" i="2"/>
  <c r="P19" i="2"/>
  <c r="Q19" i="2"/>
  <c r="R19" i="2"/>
  <c r="S19" i="2"/>
  <c r="O19" i="2"/>
  <c r="O15" i="2"/>
  <c r="P18" i="2"/>
  <c r="Q18" i="2"/>
  <c r="R18" i="2"/>
  <c r="S18" i="2"/>
  <c r="O18" i="2"/>
  <c r="N21" i="2"/>
  <c r="N20" i="2"/>
  <c r="N18" i="2"/>
  <c r="U16" i="2"/>
  <c r="U14" i="2"/>
  <c r="U13" i="2"/>
  <c r="R17" i="2"/>
  <c r="S17" i="2"/>
  <c r="T17" i="2"/>
  <c r="Q17" i="2"/>
  <c r="O17" i="2"/>
  <c r="N17" i="2"/>
  <c r="U8" i="2"/>
  <c r="U3" i="2"/>
  <c r="R16" i="2"/>
  <c r="S16" i="2"/>
  <c r="T16" i="2"/>
  <c r="Q16" i="2"/>
  <c r="R14" i="2"/>
  <c r="S14" i="2"/>
  <c r="T14" i="2"/>
  <c r="Q14" i="2"/>
  <c r="R13" i="2"/>
  <c r="S13" i="2"/>
  <c r="T13" i="2"/>
  <c r="Q13" i="2"/>
  <c r="O16" i="2"/>
  <c r="O14" i="2"/>
  <c r="O13" i="2"/>
  <c r="T15" i="2"/>
  <c r="S15" i="2"/>
  <c r="R15" i="2"/>
  <c r="Q15" i="2"/>
  <c r="N16" i="2"/>
  <c r="N14" i="2"/>
  <c r="N13" i="2"/>
  <c r="N8" i="2"/>
  <c r="R8" i="2"/>
  <c r="U10" i="2"/>
  <c r="U9" i="2"/>
  <c r="R12" i="2"/>
  <c r="S12" i="2"/>
  <c r="T12" i="2"/>
  <c r="Q12" i="2"/>
  <c r="P12" i="2"/>
  <c r="N12" i="2"/>
  <c r="Q10" i="2"/>
  <c r="R10" i="2"/>
  <c r="S10" i="2"/>
  <c r="T10" i="2"/>
  <c r="P10" i="2"/>
  <c r="Q9" i="2"/>
  <c r="P9" i="2"/>
  <c r="R9" i="2"/>
  <c r="S9" i="2"/>
  <c r="T9" i="2"/>
  <c r="Q8" i="2"/>
  <c r="S8" i="2"/>
  <c r="T8" i="2"/>
  <c r="P8" i="2"/>
  <c r="T11" i="2"/>
  <c r="S11" i="2"/>
  <c r="R11" i="2"/>
  <c r="Q11" i="2"/>
  <c r="P11" i="2"/>
  <c r="N10" i="2"/>
  <c r="N9" i="2"/>
  <c r="U6" i="2"/>
  <c r="U5" i="2"/>
  <c r="U4" i="2"/>
  <c r="Q11" i="1"/>
  <c r="H14" i="1"/>
  <c r="H13" i="1"/>
  <c r="H12" i="1"/>
  <c r="H11" i="1"/>
</calcChain>
</file>

<file path=xl/sharedStrings.xml><?xml version="1.0" encoding="utf-8"?>
<sst xmlns="http://schemas.openxmlformats.org/spreadsheetml/2006/main" count="68" uniqueCount="37">
  <si>
    <t>Изделие</t>
  </si>
  <si>
    <t>Сырье</t>
  </si>
  <si>
    <t>Прибыль ден. Ед</t>
  </si>
  <si>
    <t>А</t>
  </si>
  <si>
    <t>В</t>
  </si>
  <si>
    <t>Запасы сырья</t>
  </si>
  <si>
    <t>max</t>
  </si>
  <si>
    <t>Определить</t>
  </si>
  <si>
    <t>Ограничения</t>
  </si>
  <si>
    <t>&lt;=</t>
  </si>
  <si>
    <t>Переменные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</si>
  <si>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</si>
  <si>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</si>
  <si>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Целевая функция</t>
  </si>
  <si>
    <r>
      <t>А (x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)</t>
    </r>
  </si>
  <si>
    <r>
      <t>В(x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</t>
    </r>
  </si>
  <si>
    <t>План</t>
  </si>
  <si>
    <t>Базисные переменные</t>
  </si>
  <si>
    <t>Значения базисных переменных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</si>
  <si>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</si>
  <si>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Θ, min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</si>
  <si>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</si>
  <si>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</si>
  <si>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</si>
  <si>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</si>
  <si>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</si>
  <si>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I</t>
  </si>
  <si>
    <t>Индексная строка</t>
  </si>
  <si>
    <t>II</t>
  </si>
  <si>
    <t>-</t>
  </si>
  <si>
    <t>III</t>
  </si>
  <si>
    <t>IV</t>
  </si>
  <si>
    <t>=</t>
  </si>
  <si>
    <t>F</t>
  </si>
  <si>
    <t>ден.ед</t>
  </si>
  <si>
    <t>Иделие А</t>
  </si>
  <si>
    <t>Иджелие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</si>
</sst>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4" fillId="3" borderId="1" xfId="1" applyFill="1" applyBorder="1" applyAlignment="1">
      <alignment horizontal="center"/>
    </xf>
    <xf numFmtId="0" fontId="4" fillId="3" borderId="1" xfId="1" applyFill="1" applyBorder="1" applyAlignment="1">
      <alignment horizontal="center" vertical="center"/>
    </xf>
    <xf numFmtId="0" fontId="4" fillId="0" borderId="1" xfId="1" applyBorder="1"/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vertical="center" wrapText="1"/>
    </xf>
    <xf numFmtId="0" fontId="4" fillId="0" borderId="1" xfId="1" applyBorder="1" applyAlignment="1">
      <alignment horizontal="center"/>
    </xf>
    <xf numFmtId="0" fontId="4" fillId="5" borderId="1" xfId="1" applyFill="1" applyBorder="1" applyAlignment="1">
      <alignment horizontal="center" vertical="center"/>
    </xf>
    <xf numFmtId="0" fontId="0" fillId="4" borderId="1" xfId="0" applyFill="1" applyBorder="1"/>
    <xf numFmtId="0" fontId="4" fillId="4" borderId="1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center" textRotation="90" wrapText="1"/>
    </xf>
  </cellXfs>
  <cellStyles count="2">
    <cellStyle name="Обычный" xfId="0" builtinId="0"/>
    <cellStyle name="Обычный 2" xfId="1" xr:uid="{9A98B557-2447-4445-AC49-F1362914C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3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50481</xdr:rowOff>
    </xdr:from>
    <xdr:to>
      <xdr:col>2</xdr:col>
      <xdr:colOff>152876</xdr:colOff>
      <xdr:row>18</xdr:row>
      <xdr:rowOff>130015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12E694-3252-4BD0-B4CA-C32997FF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98456"/>
          <a:ext cx="1295876" cy="145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470536</xdr:colOff>
      <xdr:row>7</xdr:row>
      <xdr:rowOff>57150</xdr:rowOff>
    </xdr:from>
    <xdr:to>
      <xdr:col>3</xdr:col>
      <xdr:colOff>300515</xdr:colOff>
      <xdr:row>9</xdr:row>
      <xdr:rowOff>62865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BC2FE6C-F9E7-46D1-97F6-CBD3D0344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6" y="2057400"/>
          <a:ext cx="1049179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66674</xdr:rowOff>
    </xdr:from>
    <xdr:to>
      <xdr:col>3</xdr:col>
      <xdr:colOff>118587</xdr:colOff>
      <xdr:row>10</xdr:row>
      <xdr:rowOff>148113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DC66CA5-970E-4562-8BDC-11B3DDFC8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49"/>
          <a:ext cx="1947387" cy="27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11</xdr:row>
      <xdr:rowOff>238601</xdr:rowOff>
    </xdr:from>
    <xdr:to>
      <xdr:col>2</xdr:col>
      <xdr:colOff>236219</xdr:colOff>
      <xdr:row>17</xdr:row>
      <xdr:rowOff>22860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C276921-9AE5-F50B-487B-A8D83D9B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" y="3619976"/>
          <a:ext cx="1295876" cy="145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551498</xdr:colOff>
      <xdr:row>8</xdr:row>
      <xdr:rowOff>100014</xdr:rowOff>
    </xdr:from>
    <xdr:to>
      <xdr:col>3</xdr:col>
      <xdr:colOff>386240</xdr:colOff>
      <xdr:row>10</xdr:row>
      <xdr:rowOff>58104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B94B5B5-D1CA-C3CA-72BD-E20DBC71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717" y="2778920"/>
          <a:ext cx="1049179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</xdr:row>
      <xdr:rowOff>140494</xdr:rowOff>
    </xdr:from>
    <xdr:to>
      <xdr:col>2</xdr:col>
      <xdr:colOff>470058</xdr:colOff>
      <xdr:row>24</xdr:row>
      <xdr:rowOff>87154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13F50E3-D501-73D5-7BC7-2BACA84D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8744"/>
          <a:ext cx="1684496" cy="161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533400</xdr:colOff>
      <xdr:row>9</xdr:row>
      <xdr:rowOff>144780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75338D1-2526-813E-9CF4-A721553F6F90}"/>
            </a:ext>
          </a:extLst>
        </xdr:cNvPr>
        <xdr:cNvSpPr txBox="1"/>
      </xdr:nvSpPr>
      <xdr:spPr>
        <a:xfrm>
          <a:off x="6629400" y="2446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0</xdr:col>
      <xdr:colOff>67152</xdr:colOff>
      <xdr:row>25</xdr:row>
      <xdr:rowOff>46197</xdr:rowOff>
    </xdr:from>
    <xdr:to>
      <xdr:col>3</xdr:col>
      <xdr:colOff>369571</xdr:colOff>
      <xdr:row>29</xdr:row>
      <xdr:rowOff>23337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20EF544-30F3-82CC-EC50-F75E88F4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2" y="6951822"/>
          <a:ext cx="2124075" cy="846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152876</xdr:colOff>
      <xdr:row>29</xdr:row>
      <xdr:rowOff>153352</xdr:rowOff>
    </xdr:from>
    <xdr:to>
      <xdr:col>3</xdr:col>
      <xdr:colOff>160496</xdr:colOff>
      <xdr:row>35</xdr:row>
      <xdr:rowOff>122872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B4236C5F-62AC-80A2-3E43-DB79414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76" y="7928133"/>
          <a:ext cx="1829276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36</xdr:row>
      <xdr:rowOff>42386</xdr:rowOff>
    </xdr:from>
    <xdr:to>
      <xdr:col>3</xdr:col>
      <xdr:colOff>262890</xdr:colOff>
      <xdr:row>37</xdr:row>
      <xdr:rowOff>103346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872594E-AF7C-9428-A20C-98B41175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150667"/>
          <a:ext cx="1951196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76200</xdr:colOff>
      <xdr:row>6</xdr:row>
      <xdr:rowOff>91440</xdr:rowOff>
    </xdr:from>
    <xdr:to>
      <xdr:col>12</xdr:col>
      <xdr:colOff>613953</xdr:colOff>
      <xdr:row>6</xdr:row>
      <xdr:rowOff>297180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7B71999-376B-4FC1-BD49-13A94D0B8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3820" y="2103120"/>
          <a:ext cx="537753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11</xdr:row>
      <xdr:rowOff>30480</xdr:rowOff>
    </xdr:from>
    <xdr:to>
      <xdr:col>12</xdr:col>
      <xdr:colOff>662940</xdr:colOff>
      <xdr:row>11</xdr:row>
      <xdr:rowOff>320040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D3ED78D-4511-4499-831A-592B63036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3230880"/>
          <a:ext cx="54864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16</xdr:row>
      <xdr:rowOff>19049</xdr:rowOff>
    </xdr:from>
    <xdr:to>
      <xdr:col>12</xdr:col>
      <xdr:colOff>561975</xdr:colOff>
      <xdr:row>16</xdr:row>
      <xdr:rowOff>314324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A54BC91A-8B23-4A6F-A807-3149280E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4371974"/>
          <a:ext cx="4476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95250</xdr:colOff>
      <xdr:row>21</xdr:row>
      <xdr:rowOff>57150</xdr:rowOff>
    </xdr:from>
    <xdr:to>
      <xdr:col>12</xdr:col>
      <xdr:colOff>662288</xdr:colOff>
      <xdr:row>21</xdr:row>
      <xdr:rowOff>323850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13945484-6B9D-DFB8-43BD-6B32F5023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5495925"/>
          <a:ext cx="567038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78581</xdr:colOff>
      <xdr:row>10</xdr:row>
      <xdr:rowOff>61913</xdr:rowOff>
    </xdr:from>
    <xdr:to>
      <xdr:col>3</xdr:col>
      <xdr:colOff>204312</xdr:colOff>
      <xdr:row>11</xdr:row>
      <xdr:rowOff>107633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AB7FE31-9D6B-F9F8-7753-E77FDED6E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" y="3217069"/>
          <a:ext cx="1947387" cy="27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152400</xdr:colOff>
      <xdr:row>23</xdr:row>
      <xdr:rowOff>142875</xdr:rowOff>
    </xdr:from>
    <xdr:to>
      <xdr:col>11</xdr:col>
      <xdr:colOff>485775</xdr:colOff>
      <xdr:row>25</xdr:row>
      <xdr:rowOff>40005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2922A9C-B52A-4262-B303-709B3EAB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6200775"/>
          <a:ext cx="333375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152400</xdr:colOff>
      <xdr:row>26</xdr:row>
      <xdr:rowOff>19050</xdr:rowOff>
    </xdr:from>
    <xdr:to>
      <xdr:col>11</xdr:col>
      <xdr:colOff>485775</xdr:colOff>
      <xdr:row>26</xdr:row>
      <xdr:rowOff>278130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E3723262-BE23-4CB0-BDDC-16ED866B6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6619875"/>
          <a:ext cx="333375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9349-61B5-404D-94E4-1A7EA374F6DC}">
  <dimension ref="A1:Q14"/>
  <sheetViews>
    <sheetView tabSelected="1" topLeftCell="A7" workbookViewId="0">
      <selection activeCell="F15" sqref="F15"/>
    </sheetView>
  </sheetViews>
  <sheetFormatPr defaultRowHeight="15" x14ac:dyDescent="0.25"/>
  <cols>
    <col min="6" max="6" width="12" customWidth="1"/>
    <col min="17" max="17" width="16.28515625" bestFit="1" customWidth="1"/>
  </cols>
  <sheetData>
    <row r="1" spans="1:17" x14ac:dyDescent="0.25">
      <c r="A1" s="20" t="s">
        <v>0</v>
      </c>
      <c r="B1" s="20" t="s">
        <v>1</v>
      </c>
      <c r="C1" s="20"/>
      <c r="D1" s="20"/>
      <c r="E1" s="20"/>
      <c r="F1" s="21" t="s">
        <v>2</v>
      </c>
    </row>
    <row r="2" spans="1:17" ht="34.9" customHeight="1" x14ac:dyDescent="0.25">
      <c r="A2" s="20"/>
      <c r="B2" s="3">
        <v>1</v>
      </c>
      <c r="C2" s="3">
        <v>2</v>
      </c>
      <c r="D2" s="3">
        <v>3</v>
      </c>
      <c r="E2" s="3">
        <v>4</v>
      </c>
      <c r="F2" s="21"/>
    </row>
    <row r="3" spans="1:17" ht="21" customHeight="1" x14ac:dyDescent="0.25">
      <c r="A3" s="3" t="s">
        <v>3</v>
      </c>
      <c r="B3" s="3">
        <v>2</v>
      </c>
      <c r="C3" s="3">
        <v>1</v>
      </c>
      <c r="D3" s="3">
        <v>2</v>
      </c>
      <c r="E3" s="3">
        <v>1</v>
      </c>
      <c r="F3" s="3">
        <v>3</v>
      </c>
    </row>
    <row r="4" spans="1:17" ht="27.6" customHeight="1" x14ac:dyDescent="0.25">
      <c r="A4" s="3" t="s">
        <v>4</v>
      </c>
      <c r="B4" s="3">
        <v>3</v>
      </c>
      <c r="C4" s="3">
        <v>1</v>
      </c>
      <c r="D4" s="3">
        <v>1</v>
      </c>
      <c r="E4" s="3">
        <v>0</v>
      </c>
      <c r="F4" s="3">
        <v>2</v>
      </c>
    </row>
    <row r="5" spans="1:17" ht="30" x14ac:dyDescent="0.25">
      <c r="A5" s="3" t="s">
        <v>5</v>
      </c>
      <c r="B5" s="3">
        <v>21</v>
      </c>
      <c r="C5" s="3">
        <v>8</v>
      </c>
      <c r="D5" s="3">
        <v>12</v>
      </c>
      <c r="E5" s="3">
        <v>5</v>
      </c>
      <c r="F5" s="4" t="s">
        <v>6</v>
      </c>
    </row>
    <row r="9" spans="1:17" ht="18.75" x14ac:dyDescent="0.3">
      <c r="A9" s="5" t="s">
        <v>7</v>
      </c>
    </row>
    <row r="10" spans="1:17" x14ac:dyDescent="0.25">
      <c r="H10" s="22" t="s">
        <v>8</v>
      </c>
      <c r="I10" s="23"/>
      <c r="J10" s="24"/>
      <c r="M10" s="22" t="s">
        <v>10</v>
      </c>
      <c r="N10" s="24"/>
      <c r="Q10" s="2" t="s">
        <v>13</v>
      </c>
    </row>
    <row r="11" spans="1:17" ht="18" x14ac:dyDescent="0.35">
      <c r="H11" s="2">
        <f>SUMPRODUCT(B3:B4,N11:N12)</f>
        <v>20</v>
      </c>
      <c r="I11" s="2" t="s">
        <v>9</v>
      </c>
      <c r="J11" s="2">
        <v>21</v>
      </c>
      <c r="M11" s="2" t="s">
        <v>11</v>
      </c>
      <c r="N11" s="7">
        <v>4</v>
      </c>
      <c r="Q11" s="2">
        <f>SUMPRODUCT(F3:F4,N11:N12)</f>
        <v>20</v>
      </c>
    </row>
    <row r="12" spans="1:17" ht="18" x14ac:dyDescent="0.35">
      <c r="H12" s="2">
        <f>SUMPRODUCT(C3:C4,N11:N12)</f>
        <v>8</v>
      </c>
      <c r="I12" s="2" t="s">
        <v>9</v>
      </c>
      <c r="J12" s="2">
        <v>8</v>
      </c>
      <c r="M12" s="2" t="s">
        <v>12</v>
      </c>
      <c r="N12" s="7">
        <v>4</v>
      </c>
    </row>
    <row r="13" spans="1:17" x14ac:dyDescent="0.25">
      <c r="H13" s="2">
        <f>SUMPRODUCT(D3:D4,N11:N12)</f>
        <v>12</v>
      </c>
      <c r="I13" s="2" t="s">
        <v>9</v>
      </c>
      <c r="J13" s="2">
        <v>12</v>
      </c>
    </row>
    <row r="14" spans="1:17" x14ac:dyDescent="0.25">
      <c r="H14" s="2">
        <f>SUMPRODUCT(E3:E4,N11:N12)</f>
        <v>4</v>
      </c>
      <c r="I14" s="2" t="s">
        <v>9</v>
      </c>
      <c r="J14" s="2">
        <v>5</v>
      </c>
    </row>
  </sheetData>
  <mergeCells count="5">
    <mergeCell ref="A1:A2"/>
    <mergeCell ref="B1:E1"/>
    <mergeCell ref="F1:F2"/>
    <mergeCell ref="H10:J10"/>
    <mergeCell ref="M10:N10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CFA1-B239-4298-8D87-ECA2F0D04A0B}">
  <dimension ref="A1:U30"/>
  <sheetViews>
    <sheetView zoomScale="80" zoomScaleNormal="80" workbookViewId="0">
      <selection activeCell="M33" sqref="M33"/>
    </sheetView>
  </sheetViews>
  <sheetFormatPr defaultRowHeight="15" x14ac:dyDescent="0.25"/>
  <cols>
    <col min="11" max="11" width="10.28515625" customWidth="1"/>
    <col min="12" max="12" width="12" customWidth="1"/>
    <col min="13" max="13" width="10.42578125" customWidth="1"/>
  </cols>
  <sheetData>
    <row r="1" spans="1:21" ht="18" x14ac:dyDescent="0.25">
      <c r="A1" s="20" t="s">
        <v>0</v>
      </c>
      <c r="B1" s="20" t="s">
        <v>1</v>
      </c>
      <c r="C1" s="20"/>
      <c r="D1" s="20"/>
      <c r="E1" s="20"/>
      <c r="F1" s="21" t="s">
        <v>2</v>
      </c>
      <c r="L1" s="25" t="s">
        <v>16</v>
      </c>
      <c r="M1" s="26" t="s">
        <v>17</v>
      </c>
      <c r="N1" s="26" t="s">
        <v>18</v>
      </c>
      <c r="O1" s="25" t="s">
        <v>19</v>
      </c>
      <c r="P1" s="25"/>
      <c r="Q1" s="25"/>
      <c r="R1" s="25"/>
      <c r="S1" s="25"/>
      <c r="T1" s="25"/>
      <c r="U1" s="25" t="s">
        <v>20</v>
      </c>
    </row>
    <row r="2" spans="1:21" ht="52.9" customHeight="1" x14ac:dyDescent="0.25">
      <c r="A2" s="20"/>
      <c r="B2" s="3">
        <v>1</v>
      </c>
      <c r="C2" s="3">
        <v>2</v>
      </c>
      <c r="D2" s="3">
        <v>3</v>
      </c>
      <c r="E2" s="3">
        <v>4</v>
      </c>
      <c r="F2" s="21"/>
      <c r="L2" s="25"/>
      <c r="M2" s="26"/>
      <c r="N2" s="26"/>
      <c r="O2" s="11" t="s">
        <v>11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25"/>
    </row>
    <row r="3" spans="1:21" ht="22.9" customHeight="1" x14ac:dyDescent="0.35">
      <c r="A3" s="3" t="s">
        <v>14</v>
      </c>
      <c r="B3" s="3">
        <v>2</v>
      </c>
      <c r="C3" s="3">
        <v>1</v>
      </c>
      <c r="D3" s="3">
        <v>2</v>
      </c>
      <c r="E3" s="3">
        <v>1</v>
      </c>
      <c r="F3" s="3">
        <v>3</v>
      </c>
      <c r="L3" s="25" t="s">
        <v>26</v>
      </c>
      <c r="M3" s="13" t="s">
        <v>22</v>
      </c>
      <c r="N3" s="8">
        <v>21</v>
      </c>
      <c r="O3" s="8">
        <v>2</v>
      </c>
      <c r="P3" s="13">
        <v>3</v>
      </c>
      <c r="Q3" s="8">
        <v>1</v>
      </c>
      <c r="R3" s="8">
        <v>0</v>
      </c>
      <c r="S3" s="8">
        <v>0</v>
      </c>
      <c r="T3" s="8">
        <v>0</v>
      </c>
      <c r="U3" s="10">
        <f>N3/O3</f>
        <v>10.5</v>
      </c>
    </row>
    <row r="4" spans="1:21" ht="22.9" customHeight="1" x14ac:dyDescent="0.35">
      <c r="A4" s="3" t="s">
        <v>15</v>
      </c>
      <c r="B4" s="3">
        <v>3</v>
      </c>
      <c r="C4" s="3">
        <v>1</v>
      </c>
      <c r="D4" s="3">
        <v>1</v>
      </c>
      <c r="E4" s="3">
        <v>0</v>
      </c>
      <c r="F4" s="3">
        <v>2</v>
      </c>
      <c r="L4" s="25"/>
      <c r="M4" s="13" t="s">
        <v>23</v>
      </c>
      <c r="N4" s="8">
        <v>8</v>
      </c>
      <c r="O4" s="8">
        <v>1</v>
      </c>
      <c r="P4" s="8">
        <v>1</v>
      </c>
      <c r="Q4" s="8">
        <v>0</v>
      </c>
      <c r="R4" s="8">
        <v>1</v>
      </c>
      <c r="S4" s="8">
        <v>0</v>
      </c>
      <c r="T4" s="8">
        <v>0</v>
      </c>
      <c r="U4" s="10">
        <f>N4/O4</f>
        <v>8</v>
      </c>
    </row>
    <row r="5" spans="1:21" ht="30" x14ac:dyDescent="0.35">
      <c r="A5" s="3" t="s">
        <v>5</v>
      </c>
      <c r="B5" s="3">
        <v>21</v>
      </c>
      <c r="C5" s="3">
        <v>8</v>
      </c>
      <c r="D5" s="3">
        <v>12</v>
      </c>
      <c r="E5" s="3">
        <v>5</v>
      </c>
      <c r="F5" s="4" t="s">
        <v>6</v>
      </c>
      <c r="L5" s="25"/>
      <c r="M5" s="13" t="s">
        <v>24</v>
      </c>
      <c r="N5" s="8">
        <v>12</v>
      </c>
      <c r="O5" s="8">
        <v>2</v>
      </c>
      <c r="P5" s="8">
        <v>1</v>
      </c>
      <c r="Q5" s="8">
        <v>0</v>
      </c>
      <c r="R5" s="8">
        <v>0</v>
      </c>
      <c r="S5" s="8">
        <v>1</v>
      </c>
      <c r="T5" s="8">
        <v>0</v>
      </c>
      <c r="U5" s="10">
        <f>N5/O5</f>
        <v>6</v>
      </c>
    </row>
    <row r="6" spans="1:21" ht="18" x14ac:dyDescent="0.35">
      <c r="L6" s="25"/>
      <c r="M6" s="16" t="s">
        <v>25</v>
      </c>
      <c r="N6" s="6">
        <v>5</v>
      </c>
      <c r="O6" s="17">
        <v>1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15">
        <f>N6/O6</f>
        <v>5</v>
      </c>
    </row>
    <row r="7" spans="1:21" ht="30" x14ac:dyDescent="0.25">
      <c r="L7" s="12" t="s">
        <v>27</v>
      </c>
      <c r="M7" s="11"/>
      <c r="N7" s="9">
        <v>0</v>
      </c>
      <c r="O7" s="14">
        <v>-3</v>
      </c>
      <c r="P7" s="11">
        <v>-2</v>
      </c>
      <c r="Q7" s="9">
        <v>0</v>
      </c>
      <c r="R7" s="9">
        <v>0</v>
      </c>
      <c r="S7" s="9">
        <v>0</v>
      </c>
      <c r="T7" s="9">
        <v>0</v>
      </c>
      <c r="U7" s="10"/>
    </row>
    <row r="8" spans="1:21" ht="18" x14ac:dyDescent="0.35">
      <c r="L8" s="25" t="s">
        <v>28</v>
      </c>
      <c r="M8" s="13" t="s">
        <v>22</v>
      </c>
      <c r="N8" s="2">
        <f>N3-(O3*N6)/O6</f>
        <v>11</v>
      </c>
      <c r="O8" s="2">
        <v>0</v>
      </c>
      <c r="P8" s="2">
        <f>P3-($O$3*P6)/$O$6</f>
        <v>3</v>
      </c>
      <c r="Q8" s="2">
        <f>Q3-($O$3*Q6)/$O$6</f>
        <v>1</v>
      </c>
      <c r="R8" s="2">
        <f>R3-($O$3*R6)/$O$6</f>
        <v>0</v>
      </c>
      <c r="S8" s="2">
        <f t="shared" ref="S8:T8" si="0">S3-($O$3*S6)/$O$6</f>
        <v>0</v>
      </c>
      <c r="T8" s="2">
        <f t="shared" si="0"/>
        <v>-2</v>
      </c>
      <c r="U8" s="2">
        <f>N8/P8</f>
        <v>3.6666666666666665</v>
      </c>
    </row>
    <row r="9" spans="1:21" ht="18" x14ac:dyDescent="0.35">
      <c r="L9" s="25"/>
      <c r="M9" s="13" t="s">
        <v>23</v>
      </c>
      <c r="N9" s="2">
        <f>N4-(O4*N6)/O6</f>
        <v>3</v>
      </c>
      <c r="O9" s="2">
        <v>0</v>
      </c>
      <c r="P9" s="2">
        <f>P4-($O$4*P6)/$O$6</f>
        <v>1</v>
      </c>
      <c r="Q9" s="2">
        <f>Q4-($O$4*Q6)/$O$6</f>
        <v>0</v>
      </c>
      <c r="R9" s="2">
        <f t="shared" ref="R9:T9" si="1">R4-($O$4*R6)/$O$6</f>
        <v>1</v>
      </c>
      <c r="S9" s="2">
        <f t="shared" si="1"/>
        <v>0</v>
      </c>
      <c r="T9" s="2">
        <f t="shared" si="1"/>
        <v>-1</v>
      </c>
      <c r="U9" s="2">
        <f>N9/P9</f>
        <v>3</v>
      </c>
    </row>
    <row r="10" spans="1:21" ht="19.5" x14ac:dyDescent="0.35">
      <c r="A10" s="5" t="s">
        <v>7</v>
      </c>
      <c r="L10" s="25"/>
      <c r="M10" s="13" t="s">
        <v>24</v>
      </c>
      <c r="N10" s="2">
        <f>N5-(O5*N6)/O6</f>
        <v>2</v>
      </c>
      <c r="O10" s="2">
        <v>0</v>
      </c>
      <c r="P10" s="7">
        <f>P5-($O$5*P6)/$O$6</f>
        <v>1</v>
      </c>
      <c r="Q10" s="2">
        <f t="shared" ref="Q10:T10" si="2">Q5-($O$5*Q6)/$O$6</f>
        <v>0</v>
      </c>
      <c r="R10" s="2">
        <f t="shared" si="2"/>
        <v>0</v>
      </c>
      <c r="S10" s="2">
        <f t="shared" si="2"/>
        <v>1</v>
      </c>
      <c r="T10" s="2">
        <f t="shared" si="2"/>
        <v>-2</v>
      </c>
      <c r="U10" s="15">
        <f>N10/P10</f>
        <v>2</v>
      </c>
    </row>
    <row r="11" spans="1:21" ht="18" x14ac:dyDescent="0.35">
      <c r="L11" s="25"/>
      <c r="M11" s="13" t="s">
        <v>11</v>
      </c>
      <c r="N11" s="2">
        <v>5</v>
      </c>
      <c r="O11" s="2">
        <v>1</v>
      </c>
      <c r="P11" s="2">
        <f>P6/O6</f>
        <v>0</v>
      </c>
      <c r="Q11" s="2">
        <f>Q6/O6</f>
        <v>0</v>
      </c>
      <c r="R11" s="2">
        <f>R6/O6</f>
        <v>0</v>
      </c>
      <c r="S11" s="2">
        <f>S6/O6</f>
        <v>0</v>
      </c>
      <c r="T11" s="2">
        <f>T6/O6</f>
        <v>1</v>
      </c>
      <c r="U11" s="1" t="s">
        <v>29</v>
      </c>
    </row>
    <row r="12" spans="1:21" ht="30" x14ac:dyDescent="0.25">
      <c r="L12" s="12" t="s">
        <v>27</v>
      </c>
      <c r="M12" s="2"/>
      <c r="N12" s="2">
        <f>N7-(N6*O7)/O6</f>
        <v>15</v>
      </c>
      <c r="O12" s="2">
        <v>0</v>
      </c>
      <c r="P12" s="18">
        <f>P7-(P6*O7)/O6</f>
        <v>-2</v>
      </c>
      <c r="Q12" s="2">
        <f>Q7-(Q6*$O$7)/$O$6</f>
        <v>0</v>
      </c>
      <c r="R12" s="2">
        <f t="shared" ref="R12:T12" si="3">R7-(R6*$O$7)/$O$6</f>
        <v>0</v>
      </c>
      <c r="S12" s="2">
        <f t="shared" si="3"/>
        <v>0</v>
      </c>
      <c r="T12" s="2">
        <f t="shared" si="3"/>
        <v>3</v>
      </c>
      <c r="U12" s="2"/>
    </row>
    <row r="13" spans="1:21" ht="18" x14ac:dyDescent="0.35">
      <c r="L13" s="25" t="s">
        <v>30</v>
      </c>
      <c r="M13" s="13" t="s">
        <v>22</v>
      </c>
      <c r="N13" s="2">
        <f>N8-(N10*P8)/P10</f>
        <v>5</v>
      </c>
      <c r="O13" s="2">
        <f>O8-(P8*O10)/P10</f>
        <v>0</v>
      </c>
      <c r="P13" s="2">
        <v>0</v>
      </c>
      <c r="Q13" s="2">
        <f>Q8-($P$8*Q10)/$P$10</f>
        <v>1</v>
      </c>
      <c r="R13" s="2">
        <f t="shared" ref="R13:T13" si="4">R8-($P$8*R10)/$P$10</f>
        <v>0</v>
      </c>
      <c r="S13" s="2">
        <f t="shared" si="4"/>
        <v>-3</v>
      </c>
      <c r="T13" s="2">
        <f t="shared" si="4"/>
        <v>4</v>
      </c>
      <c r="U13" s="2">
        <f>N13/T13</f>
        <v>1.25</v>
      </c>
    </row>
    <row r="14" spans="1:21" ht="18" x14ac:dyDescent="0.35">
      <c r="L14" s="25"/>
      <c r="M14" s="13" t="s">
        <v>23</v>
      </c>
      <c r="N14" s="2">
        <f>N9-(N10*P9)/P10</f>
        <v>1</v>
      </c>
      <c r="O14" s="2">
        <f>O9-(P9*O10)/P10</f>
        <v>0</v>
      </c>
      <c r="P14" s="2">
        <v>0</v>
      </c>
      <c r="Q14" s="2">
        <f>Q9-($P$9*Q10)/$P$10</f>
        <v>0</v>
      </c>
      <c r="R14" s="2">
        <f t="shared" ref="R14:T14" si="5">R9-($P$9*R10)/$P$10</f>
        <v>1</v>
      </c>
      <c r="S14" s="2">
        <f t="shared" si="5"/>
        <v>-1</v>
      </c>
      <c r="T14" s="7">
        <f t="shared" si="5"/>
        <v>1</v>
      </c>
      <c r="U14" s="15">
        <f>N14/T14</f>
        <v>1</v>
      </c>
    </row>
    <row r="15" spans="1:21" ht="18" x14ac:dyDescent="0.35">
      <c r="L15" s="25"/>
      <c r="M15" s="13" t="s">
        <v>21</v>
      </c>
      <c r="N15" s="2">
        <v>2</v>
      </c>
      <c r="O15" s="2">
        <f>O10/P10</f>
        <v>0</v>
      </c>
      <c r="P15" s="2">
        <v>1</v>
      </c>
      <c r="Q15" s="2">
        <f>Q10/P10</f>
        <v>0</v>
      </c>
      <c r="R15" s="2">
        <f>R10/P10</f>
        <v>0</v>
      </c>
      <c r="S15" s="2">
        <f>S10/P10</f>
        <v>1</v>
      </c>
      <c r="T15" s="2">
        <f>T10/P10</f>
        <v>-2</v>
      </c>
      <c r="U15" s="2" t="s">
        <v>29</v>
      </c>
    </row>
    <row r="16" spans="1:21" ht="18" x14ac:dyDescent="0.35">
      <c r="L16" s="25"/>
      <c r="M16" s="13" t="s">
        <v>11</v>
      </c>
      <c r="N16" s="2">
        <f>N11-(N10*P11)/P10</f>
        <v>5</v>
      </c>
      <c r="O16" s="2">
        <f>O11-(O10*P11)/P10</f>
        <v>1</v>
      </c>
      <c r="P16" s="2">
        <v>0</v>
      </c>
      <c r="Q16" s="2">
        <f>Q11-(Q10*$P$11)/$P$10</f>
        <v>0</v>
      </c>
      <c r="R16" s="2">
        <f t="shared" ref="R16:T16" si="6">R11-(R10*$P$11)/$P$10</f>
        <v>0</v>
      </c>
      <c r="S16" s="2">
        <f t="shared" si="6"/>
        <v>0</v>
      </c>
      <c r="T16" s="2">
        <f t="shared" si="6"/>
        <v>1</v>
      </c>
      <c r="U16" s="2">
        <f>N16/T16</f>
        <v>5</v>
      </c>
    </row>
    <row r="17" spans="12:21" ht="30" x14ac:dyDescent="0.25">
      <c r="L17" s="12" t="s">
        <v>27</v>
      </c>
      <c r="M17" s="2"/>
      <c r="N17" s="2">
        <f>N12-(N10*P12)/P10</f>
        <v>19</v>
      </c>
      <c r="O17" s="2">
        <f>O12-(O10*P12)/P10</f>
        <v>0</v>
      </c>
      <c r="P17" s="2">
        <v>0</v>
      </c>
      <c r="Q17" s="2">
        <f>Q12-(Q10*$P$12)/$P$10</f>
        <v>0</v>
      </c>
      <c r="R17" s="2">
        <f t="shared" ref="R17:T17" si="7">R12-(R10*$P$12)/$P$10</f>
        <v>0</v>
      </c>
      <c r="S17" s="2">
        <f t="shared" si="7"/>
        <v>2</v>
      </c>
      <c r="T17" s="18">
        <f t="shared" si="7"/>
        <v>-1</v>
      </c>
      <c r="U17" s="2"/>
    </row>
    <row r="18" spans="12:21" ht="18" x14ac:dyDescent="0.35">
      <c r="L18" s="25" t="s">
        <v>31</v>
      </c>
      <c r="M18" s="13" t="s">
        <v>22</v>
      </c>
      <c r="N18" s="2">
        <f>N13-(N14*T13)/T14</f>
        <v>1</v>
      </c>
      <c r="O18" s="2">
        <f>O13-(O14*$T$13)/$T$14</f>
        <v>0</v>
      </c>
      <c r="P18" s="2">
        <f t="shared" ref="P18:S18" si="8">P13-(P14*$T$13)/$T$14</f>
        <v>0</v>
      </c>
      <c r="Q18" s="2">
        <f t="shared" si="8"/>
        <v>1</v>
      </c>
      <c r="R18" s="2">
        <f t="shared" si="8"/>
        <v>-4</v>
      </c>
      <c r="S18" s="2">
        <f t="shared" si="8"/>
        <v>1</v>
      </c>
      <c r="T18" s="2">
        <v>0</v>
      </c>
      <c r="U18" s="2"/>
    </row>
    <row r="19" spans="12:21" ht="18" x14ac:dyDescent="0.35">
      <c r="L19" s="25"/>
      <c r="M19" s="13" t="s">
        <v>25</v>
      </c>
      <c r="N19" s="2">
        <v>1</v>
      </c>
      <c r="O19" s="2">
        <f>O14/$T$14</f>
        <v>0</v>
      </c>
      <c r="P19" s="2">
        <f t="shared" ref="P19:S19" si="9">P14/$T$14</f>
        <v>0</v>
      </c>
      <c r="Q19" s="2">
        <f t="shared" si="9"/>
        <v>0</v>
      </c>
      <c r="R19" s="2">
        <f t="shared" si="9"/>
        <v>1</v>
      </c>
      <c r="S19" s="2">
        <f t="shared" si="9"/>
        <v>-1</v>
      </c>
      <c r="T19" s="2">
        <v>1</v>
      </c>
      <c r="U19" s="2"/>
    </row>
    <row r="20" spans="12:21" ht="18" x14ac:dyDescent="0.35">
      <c r="L20" s="25"/>
      <c r="M20" s="13" t="s">
        <v>21</v>
      </c>
      <c r="N20" s="2">
        <f>N15-(N14*T15)/T14</f>
        <v>4</v>
      </c>
      <c r="O20" s="2">
        <f>O15-(O14*$T$15)/$T$14</f>
        <v>0</v>
      </c>
      <c r="P20" s="2">
        <f t="shared" ref="P20:S20" si="10">P15-(P14*$T$15)/$T$14</f>
        <v>1</v>
      </c>
      <c r="Q20" s="2">
        <f t="shared" si="10"/>
        <v>0</v>
      </c>
      <c r="R20" s="2">
        <f t="shared" si="10"/>
        <v>2</v>
      </c>
      <c r="S20" s="2">
        <f t="shared" si="10"/>
        <v>-1</v>
      </c>
      <c r="T20" s="2">
        <v>0</v>
      </c>
      <c r="U20" s="2"/>
    </row>
    <row r="21" spans="12:21" ht="18" x14ac:dyDescent="0.35">
      <c r="L21" s="25"/>
      <c r="M21" s="13" t="s">
        <v>11</v>
      </c>
      <c r="N21" s="2">
        <f>N16-(N14*T16)/T14</f>
        <v>4</v>
      </c>
      <c r="O21" s="2">
        <f>O16-(O14*$T$16)/$T$14</f>
        <v>1</v>
      </c>
      <c r="P21" s="2">
        <f t="shared" ref="P21:S21" si="11">P16-(P14*$T$16)/$T$14</f>
        <v>0</v>
      </c>
      <c r="Q21" s="2">
        <f t="shared" si="11"/>
        <v>0</v>
      </c>
      <c r="R21" s="2">
        <f t="shared" si="11"/>
        <v>-1</v>
      </c>
      <c r="S21" s="2">
        <f t="shared" si="11"/>
        <v>1</v>
      </c>
      <c r="T21" s="2">
        <v>0</v>
      </c>
      <c r="U21" s="2"/>
    </row>
    <row r="22" spans="12:21" ht="30" x14ac:dyDescent="0.25">
      <c r="L22" s="12" t="s">
        <v>27</v>
      </c>
      <c r="M22" s="2"/>
      <c r="N22" s="2">
        <f>N17-(N14*T17)/T14</f>
        <v>20</v>
      </c>
      <c r="O22" s="2">
        <f>O17-(O14*$T$17)/$T$14</f>
        <v>0</v>
      </c>
      <c r="P22" s="2">
        <f t="shared" ref="P22:T22" si="12">P17-(P14*$T$17)/$T$14</f>
        <v>0</v>
      </c>
      <c r="Q22" s="2">
        <f t="shared" si="12"/>
        <v>0</v>
      </c>
      <c r="R22" s="2">
        <f t="shared" si="12"/>
        <v>1</v>
      </c>
      <c r="S22" s="2">
        <f t="shared" si="12"/>
        <v>1</v>
      </c>
      <c r="T22" s="2">
        <f t="shared" si="12"/>
        <v>0</v>
      </c>
      <c r="U22" s="2"/>
    </row>
    <row r="25" spans="12:21" x14ac:dyDescent="0.25">
      <c r="M25" t="s">
        <v>32</v>
      </c>
      <c r="N25">
        <v>4</v>
      </c>
      <c r="O25">
        <v>4</v>
      </c>
      <c r="P25">
        <v>1</v>
      </c>
      <c r="Q25">
        <v>0</v>
      </c>
      <c r="R25">
        <v>0</v>
      </c>
      <c r="S25">
        <v>1</v>
      </c>
    </row>
    <row r="27" spans="12:21" ht="23.25" x14ac:dyDescent="0.35">
      <c r="L27" s="19" t="s">
        <v>33</v>
      </c>
      <c r="M27" t="s">
        <v>32</v>
      </c>
      <c r="N27">
        <v>20</v>
      </c>
      <c r="O27" t="s">
        <v>34</v>
      </c>
    </row>
    <row r="29" spans="12:21" x14ac:dyDescent="0.25">
      <c r="L29" t="s">
        <v>35</v>
      </c>
      <c r="M29">
        <v>4</v>
      </c>
    </row>
    <row r="30" spans="12:21" x14ac:dyDescent="0.25">
      <c r="L30" t="s">
        <v>36</v>
      </c>
      <c r="M30">
        <v>4</v>
      </c>
    </row>
  </sheetData>
  <mergeCells count="12">
    <mergeCell ref="L8:L11"/>
    <mergeCell ref="L13:L16"/>
    <mergeCell ref="L18:L21"/>
    <mergeCell ref="A1:A2"/>
    <mergeCell ref="B1:E1"/>
    <mergeCell ref="F1:F2"/>
    <mergeCell ref="L3:L6"/>
    <mergeCell ref="U1:U2"/>
    <mergeCell ref="O1:T1"/>
    <mergeCell ref="L1:L2"/>
    <mergeCell ref="M1:M2"/>
    <mergeCell ref="N1:N2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 решений</vt:lpstr>
      <vt:lpstr>Симплекс метод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Студент каб 52</cp:lastModifiedBy>
  <dcterms:created xsi:type="dcterms:W3CDTF">2026-01-29T11:00:46Z</dcterms:created>
  <dcterms:modified xsi:type="dcterms:W3CDTF">2026-01-30T05:47:21Z</dcterms:modified>
</cp:coreProperties>
</file>