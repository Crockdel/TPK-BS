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Егор\Desktop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0" i="1" l="1"/>
  <c r="H30" i="1"/>
  <c r="G30" i="1"/>
  <c r="K29" i="1"/>
  <c r="H29" i="1"/>
  <c r="G29" i="1"/>
  <c r="K27" i="1"/>
  <c r="H27" i="1"/>
  <c r="G27" i="1"/>
  <c r="K28" i="1"/>
  <c r="H28" i="1"/>
  <c r="G28" i="1"/>
  <c r="M24" i="1" l="1"/>
  <c r="M25" i="1"/>
  <c r="M23" i="1"/>
</calcChain>
</file>

<file path=xl/sharedStrings.xml><?xml version="1.0" encoding="utf-8"?>
<sst xmlns="http://schemas.openxmlformats.org/spreadsheetml/2006/main" count="34" uniqueCount="26">
  <si>
    <t xml:space="preserve">Типы станков </t>
  </si>
  <si>
    <t>Время обработки одной детали (ч)</t>
  </si>
  <si>
    <t>I</t>
  </si>
  <si>
    <t>II</t>
  </si>
  <si>
    <t>1-й станок</t>
  </si>
  <si>
    <t>2-й станок</t>
  </si>
  <si>
    <t>3-й станок</t>
  </si>
  <si>
    <t>Прибыль от реализации одной детали (руб.)</t>
  </si>
  <si>
    <t>Времяработа станка в течении цикла производства (ч)</t>
  </si>
  <si>
    <t>Определить</t>
  </si>
  <si>
    <t>max</t>
  </si>
  <si>
    <t>План</t>
  </si>
  <si>
    <t>Базисные переменные</t>
  </si>
  <si>
    <t>Значения базисных переменных</t>
  </si>
  <si>
    <t>Значения коэффицентов, aij</t>
  </si>
  <si>
    <r>
      <t>x</t>
    </r>
    <r>
      <rPr>
        <vertAlign val="subscript"/>
        <sz val="1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</si>
  <si>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</si>
  <si>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</si>
  <si>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</si>
  <si>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rFont val="Calibri"/>
        <family val="2"/>
        <charset val="204"/>
        <scheme val="minor"/>
      </rPr>
      <t>5</t>
    </r>
  </si>
  <si>
    <t>Индексная строка</t>
  </si>
  <si>
    <t>Θ,min</t>
  </si>
  <si>
    <r>
      <t>→x</t>
    </r>
    <r>
      <rPr>
        <vertAlign val="subscript"/>
        <sz val="1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</si>
  <si>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rFont val="Calibri"/>
        <family val="2"/>
        <charset val="204"/>
        <scheme val="minor"/>
      </rPr>
      <t>2</t>
    </r>
    <r>
      <rPr>
        <sz val="11"/>
        <rFont val="Calibri"/>
        <family val="2"/>
        <scheme val="minor"/>
      </rPr>
      <t xml:space="preserve"> = 5</t>
    </r>
  </si>
  <si>
    <r>
      <t>x</t>
    </r>
    <r>
      <rPr>
        <vertAlign val="subscript"/>
        <sz val="11"/>
        <rFont val="Calibri"/>
        <family val="2"/>
        <charset val="204"/>
        <scheme val="minor"/>
      </rPr>
      <t>1</t>
    </r>
    <r>
      <rPr>
        <sz val="11"/>
        <rFont val="Calibri"/>
        <family val="2"/>
        <charset val="204"/>
        <scheme val="minor"/>
      </rPr>
      <t xml:space="preserve"> = 0</t>
    </r>
  </si>
  <si>
    <r>
      <t>F</t>
    </r>
    <r>
      <rPr>
        <vertAlign val="subscript"/>
        <sz val="11"/>
        <rFont val="Calibri"/>
        <family val="2"/>
        <charset val="204"/>
        <scheme val="minor"/>
      </rPr>
      <t>max</t>
    </r>
    <r>
      <rPr>
        <sz val="11"/>
        <rFont val="Calibri"/>
        <family val="2"/>
        <scheme val="minor"/>
      </rPr>
      <t xml:space="preserve"> = 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</si>
</sst>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7" borderId="0" xfId="0" applyFont="1" applyFill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/>
    <xf numFmtId="0" fontId="1" fillId="7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3" fillId="7" borderId="0" xfId="0" applyFont="1" applyFill="1" applyBorder="1"/>
    <xf numFmtId="0" fontId="3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933450</xdr:colOff>
      <xdr:row>7</xdr:row>
      <xdr:rowOff>9525</xdr:rowOff>
    </xdr:from>
    <xdr:to>
      <xdr:col>1</xdr:col>
      <xdr:colOff>200025</xdr:colOff>
      <xdr:row>8</xdr:row>
      <xdr:rowOff>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695450"/>
          <a:ext cx="7810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123825</xdr:rowOff>
    </xdr:from>
    <xdr:to>
      <xdr:col>0</xdr:col>
      <xdr:colOff>1095375</xdr:colOff>
      <xdr:row>12</xdr:row>
      <xdr:rowOff>19050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"/>
          <a:ext cx="109537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</xdr:row>
      <xdr:rowOff>9525</xdr:rowOff>
    </xdr:from>
    <xdr:to>
      <xdr:col>1</xdr:col>
      <xdr:colOff>28575</xdr:colOff>
      <xdr:row>14</xdr:row>
      <xdr:rowOff>0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450"/>
          <a:ext cx="15430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133350</xdr:rowOff>
    </xdr:from>
    <xdr:to>
      <xdr:col>1</xdr:col>
      <xdr:colOff>314325</xdr:colOff>
      <xdr:row>19</xdr:row>
      <xdr:rowOff>0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2775"/>
          <a:ext cx="18288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323850</xdr:colOff>
      <xdr:row>8</xdr:row>
      <xdr:rowOff>0</xdr:rowOff>
    </xdr:from>
    <xdr:to>
      <xdr:col>3</xdr:col>
      <xdr:colOff>152400</xdr:colOff>
      <xdr:row>10</xdr:row>
      <xdr:rowOff>180975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876425"/>
          <a:ext cx="15144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276225</xdr:colOff>
      <xdr:row>11</xdr:row>
      <xdr:rowOff>161925</xdr:rowOff>
    </xdr:from>
    <xdr:to>
      <xdr:col>3</xdr:col>
      <xdr:colOff>514350</xdr:colOff>
      <xdr:row>16</xdr:row>
      <xdr:rowOff>57150</xdr:rowOff>
    </xdr:to>
    <xdr:pic>
      <xdr:nvPicPr>
        <xdr:cNvPr id="13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609850"/>
          <a:ext cx="19240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190500</xdr:colOff>
      <xdr:row>16</xdr:row>
      <xdr:rowOff>161925</xdr:rowOff>
    </xdr:from>
    <xdr:to>
      <xdr:col>3</xdr:col>
      <xdr:colOff>504825</xdr:colOff>
      <xdr:row>18</xdr:row>
      <xdr:rowOff>28575</xdr:rowOff>
    </xdr:to>
    <xdr:pic>
      <xdr:nvPicPr>
        <xdr:cNvPr id="14" name="Рисунок 1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3562350"/>
          <a:ext cx="20002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85725</xdr:colOff>
      <xdr:row>25</xdr:row>
      <xdr:rowOff>133350</xdr:rowOff>
    </xdr:from>
    <xdr:to>
      <xdr:col>5</xdr:col>
      <xdr:colOff>533400</xdr:colOff>
      <xdr:row>25</xdr:row>
      <xdr:rowOff>381000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DA8021A7-AC9C-0208-D05B-8A3A7E67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60483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76200</xdr:colOff>
      <xdr:row>29</xdr:row>
      <xdr:rowOff>95250</xdr:rowOff>
    </xdr:from>
    <xdr:to>
      <xdr:col>5</xdr:col>
      <xdr:colOff>523875</xdr:colOff>
      <xdr:row>29</xdr:row>
      <xdr:rowOff>342900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3A6E133-D6A9-6831-F47F-99036D8FD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7096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zoomScaleNormal="100" workbookViewId="0">
      <selection activeCell="G36" sqref="G36"/>
    </sheetView>
  </sheetViews>
  <sheetFormatPr defaultRowHeight="15" x14ac:dyDescent="0.25"/>
  <cols>
    <col min="1" max="1" width="22.7109375" customWidth="1"/>
    <col min="3" max="3" width="25.28515625" customWidth="1"/>
    <col min="4" max="4" width="29.5703125" customWidth="1"/>
    <col min="5" max="5" width="22.140625" customWidth="1"/>
  </cols>
  <sheetData>
    <row r="1" spans="1:4" ht="27.75" customHeight="1" x14ac:dyDescent="0.25">
      <c r="A1" s="32" t="s">
        <v>0</v>
      </c>
      <c r="B1" s="31" t="s">
        <v>1</v>
      </c>
      <c r="C1" s="31"/>
      <c r="D1" s="31" t="s">
        <v>8</v>
      </c>
    </row>
    <row r="2" spans="1:4" x14ac:dyDescent="0.25">
      <c r="A2" s="32"/>
      <c r="B2" s="2" t="s">
        <v>2</v>
      </c>
      <c r="C2" s="2" t="s">
        <v>3</v>
      </c>
      <c r="D2" s="31"/>
    </row>
    <row r="3" spans="1:4" x14ac:dyDescent="0.25">
      <c r="A3" s="2" t="s">
        <v>4</v>
      </c>
      <c r="B3" s="2">
        <v>4</v>
      </c>
      <c r="C3" s="2">
        <v>2</v>
      </c>
      <c r="D3" s="2">
        <v>16</v>
      </c>
    </row>
    <row r="4" spans="1:4" x14ac:dyDescent="0.25">
      <c r="A4" s="2" t="s">
        <v>5</v>
      </c>
      <c r="B4" s="2">
        <v>13</v>
      </c>
      <c r="C4" s="2">
        <v>6</v>
      </c>
      <c r="D4" s="2">
        <v>30</v>
      </c>
    </row>
    <row r="5" spans="1:4" x14ac:dyDescent="0.25">
      <c r="A5" s="2" t="s">
        <v>6</v>
      </c>
      <c r="B5" s="2">
        <v>2</v>
      </c>
      <c r="C5" s="2">
        <v>1</v>
      </c>
      <c r="D5" s="2">
        <v>12</v>
      </c>
    </row>
    <row r="6" spans="1:4" ht="30" customHeight="1" x14ac:dyDescent="0.25">
      <c r="A6" s="3" t="s">
        <v>7</v>
      </c>
      <c r="B6" s="2">
        <v>3</v>
      </c>
      <c r="C6" s="2">
        <v>4</v>
      </c>
      <c r="D6" s="2" t="s">
        <v>10</v>
      </c>
    </row>
    <row r="8" spans="1:4" x14ac:dyDescent="0.25">
      <c r="A8" s="1" t="s">
        <v>9</v>
      </c>
    </row>
    <row r="21" spans="4:14" x14ac:dyDescent="0.25">
      <c r="E21" s="28" t="s">
        <v>11</v>
      </c>
      <c r="F21" s="30" t="s">
        <v>12</v>
      </c>
      <c r="G21" s="30" t="s">
        <v>13</v>
      </c>
      <c r="H21" s="28" t="s">
        <v>14</v>
      </c>
      <c r="I21" s="28"/>
      <c r="J21" s="28"/>
      <c r="K21" s="28"/>
      <c r="L21" s="28"/>
      <c r="M21" s="29" t="s">
        <v>21</v>
      </c>
      <c r="N21" s="24"/>
    </row>
    <row r="22" spans="4:14" ht="69" customHeight="1" x14ac:dyDescent="0.25">
      <c r="E22" s="28"/>
      <c r="F22" s="30"/>
      <c r="G22" s="30"/>
      <c r="H22" s="11" t="s">
        <v>15</v>
      </c>
      <c r="I22" s="7" t="s">
        <v>16</v>
      </c>
      <c r="J22" s="6" t="s">
        <v>17</v>
      </c>
      <c r="K22" s="6" t="s">
        <v>18</v>
      </c>
      <c r="L22" s="6" t="s">
        <v>19</v>
      </c>
      <c r="M22" s="29"/>
      <c r="N22" s="24"/>
    </row>
    <row r="23" spans="4:14" ht="18" x14ac:dyDescent="0.25">
      <c r="E23" s="25" t="s">
        <v>2</v>
      </c>
      <c r="F23" s="11" t="s">
        <v>17</v>
      </c>
      <c r="G23" s="11">
        <v>16</v>
      </c>
      <c r="H23" s="11">
        <v>4</v>
      </c>
      <c r="I23" s="7">
        <v>2</v>
      </c>
      <c r="J23" s="11">
        <v>1</v>
      </c>
      <c r="K23" s="11">
        <v>0</v>
      </c>
      <c r="L23" s="11">
        <v>0</v>
      </c>
      <c r="M23" s="11">
        <f>G23/I23</f>
        <v>8</v>
      </c>
      <c r="N23" s="13"/>
    </row>
    <row r="24" spans="4:14" ht="18" x14ac:dyDescent="0.25">
      <c r="E24" s="25"/>
      <c r="F24" s="6" t="s">
        <v>22</v>
      </c>
      <c r="G24" s="8">
        <v>30</v>
      </c>
      <c r="H24" s="8">
        <v>13</v>
      </c>
      <c r="I24" s="9">
        <v>6</v>
      </c>
      <c r="J24" s="8">
        <v>0</v>
      </c>
      <c r="K24" s="8">
        <v>1</v>
      </c>
      <c r="L24" s="8">
        <v>0</v>
      </c>
      <c r="M24" s="8">
        <f t="shared" ref="M24:M25" si="0">G24/I24</f>
        <v>5</v>
      </c>
      <c r="N24" s="13"/>
    </row>
    <row r="25" spans="4:14" ht="18.75" thickBot="1" x14ac:dyDescent="0.3">
      <c r="E25" s="26"/>
      <c r="F25" s="5" t="s">
        <v>19</v>
      </c>
      <c r="G25" s="5">
        <v>12</v>
      </c>
      <c r="H25" s="10">
        <v>2</v>
      </c>
      <c r="I25" s="4">
        <v>1</v>
      </c>
      <c r="J25" s="5">
        <v>0</v>
      </c>
      <c r="K25" s="5">
        <v>0</v>
      </c>
      <c r="L25" s="5">
        <v>1</v>
      </c>
      <c r="M25" s="10">
        <f t="shared" si="0"/>
        <v>12</v>
      </c>
      <c r="N25" s="13"/>
    </row>
    <row r="26" spans="4:14" ht="38.25" customHeight="1" thickBot="1" x14ac:dyDescent="0.3">
      <c r="E26" s="17" t="s">
        <v>20</v>
      </c>
      <c r="F26" s="18"/>
      <c r="G26" s="19">
        <v>0</v>
      </c>
      <c r="H26" s="20">
        <v>-3</v>
      </c>
      <c r="I26" s="21">
        <v>-4</v>
      </c>
      <c r="J26" s="19">
        <v>0</v>
      </c>
      <c r="K26" s="19">
        <v>0</v>
      </c>
      <c r="L26" s="19">
        <v>0</v>
      </c>
      <c r="M26" s="22"/>
      <c r="N26" s="13"/>
    </row>
    <row r="27" spans="4:14" ht="18" x14ac:dyDescent="0.35">
      <c r="E27" s="27" t="s">
        <v>3</v>
      </c>
      <c r="F27" s="14" t="s">
        <v>17</v>
      </c>
      <c r="G27" s="15">
        <f>G23-(2*M24)</f>
        <v>6</v>
      </c>
      <c r="H27" s="16">
        <f>H23-(2*H28)</f>
        <v>-0.33333333333333304</v>
      </c>
      <c r="I27" s="16">
        <v>0</v>
      </c>
      <c r="J27" s="15">
        <v>1</v>
      </c>
      <c r="K27" s="15">
        <f>0-(2*K28)</f>
        <v>-0.33333333333333331</v>
      </c>
      <c r="L27" s="15">
        <v>0</v>
      </c>
      <c r="M27" s="15"/>
      <c r="N27" s="13"/>
    </row>
    <row r="28" spans="4:14" ht="18" x14ac:dyDescent="0.35">
      <c r="E28" s="25"/>
      <c r="F28" s="12" t="s">
        <v>16</v>
      </c>
      <c r="G28" s="11">
        <f>G24/I24</f>
        <v>5</v>
      </c>
      <c r="H28" s="11">
        <f>H24/I24</f>
        <v>2.1666666666666665</v>
      </c>
      <c r="I28" s="11">
        <v>1</v>
      </c>
      <c r="J28" s="11">
        <v>0</v>
      </c>
      <c r="K28" s="11">
        <f>K24/I24</f>
        <v>0.16666666666666666</v>
      </c>
      <c r="L28" s="11">
        <v>0</v>
      </c>
      <c r="M28" s="11"/>
      <c r="N28" s="13"/>
    </row>
    <row r="29" spans="4:14" ht="18.75" thickBot="1" x14ac:dyDescent="0.4">
      <c r="E29" s="26"/>
      <c r="F29" s="23" t="s">
        <v>19</v>
      </c>
      <c r="G29" s="5">
        <f>G25-M24</f>
        <v>7</v>
      </c>
      <c r="H29" s="10">
        <f>2-H28</f>
        <v>-0.16666666666666652</v>
      </c>
      <c r="I29" s="10">
        <v>0</v>
      </c>
      <c r="J29" s="5">
        <v>0</v>
      </c>
      <c r="K29" s="5">
        <f>K25-K28</f>
        <v>-0.16666666666666666</v>
      </c>
      <c r="L29" s="5">
        <v>1</v>
      </c>
      <c r="M29" s="5"/>
      <c r="N29" s="13"/>
    </row>
    <row r="30" spans="4:14" ht="35.25" customHeight="1" thickBot="1" x14ac:dyDescent="0.3">
      <c r="E30" s="17" t="s">
        <v>20</v>
      </c>
      <c r="F30" s="18"/>
      <c r="G30" s="19">
        <f>4*G28</f>
        <v>20</v>
      </c>
      <c r="H30" s="20">
        <f>4*H28</f>
        <v>8.6666666666666661</v>
      </c>
      <c r="I30" s="20">
        <v>4</v>
      </c>
      <c r="J30" s="19">
        <v>0</v>
      </c>
      <c r="K30" s="19">
        <f>4*K28</f>
        <v>0.66666666666666663</v>
      </c>
      <c r="L30" s="19">
        <v>0</v>
      </c>
      <c r="M30" s="22"/>
      <c r="N30" s="13"/>
    </row>
    <row r="31" spans="4:14" x14ac:dyDescent="0.25">
      <c r="D31" s="33"/>
      <c r="E31" s="39"/>
      <c r="F31" s="34"/>
      <c r="G31" s="34"/>
      <c r="H31" s="35"/>
      <c r="I31" s="35"/>
      <c r="J31" s="34"/>
      <c r="K31" s="34"/>
      <c r="L31" s="34"/>
      <c r="M31" s="34"/>
      <c r="N31" s="13"/>
    </row>
    <row r="32" spans="4:14" ht="18" x14ac:dyDescent="0.25">
      <c r="D32" s="33"/>
      <c r="E32" s="40" t="s">
        <v>24</v>
      </c>
      <c r="F32" s="34"/>
      <c r="G32" s="34"/>
      <c r="H32" s="34"/>
      <c r="I32" s="34"/>
      <c r="J32" s="34"/>
      <c r="K32" s="34"/>
      <c r="L32" s="34"/>
      <c r="M32" s="34"/>
      <c r="N32" s="13"/>
    </row>
    <row r="33" spans="4:14" ht="18" x14ac:dyDescent="0.25">
      <c r="D33" s="33"/>
      <c r="E33" s="41" t="s">
        <v>23</v>
      </c>
      <c r="F33" s="34"/>
      <c r="G33" s="34"/>
      <c r="H33" s="34"/>
      <c r="I33" s="34"/>
      <c r="J33" s="34"/>
      <c r="K33" s="34"/>
      <c r="L33" s="34"/>
      <c r="M33" s="34"/>
      <c r="N33" s="13"/>
    </row>
    <row r="34" spans="4:14" ht="35.25" customHeight="1" x14ac:dyDescent="0.25">
      <c r="D34" s="33"/>
      <c r="E34" s="42" t="s">
        <v>25</v>
      </c>
      <c r="F34" s="34"/>
      <c r="G34" s="34"/>
      <c r="H34" s="34"/>
      <c r="I34" s="34"/>
      <c r="J34" s="34"/>
      <c r="K34" s="34"/>
      <c r="L34" s="34"/>
      <c r="M34" s="34"/>
      <c r="N34" s="13"/>
    </row>
    <row r="35" spans="4:14" x14ac:dyDescent="0.25">
      <c r="D35" s="33"/>
      <c r="E35" s="36"/>
      <c r="F35" s="34"/>
      <c r="G35" s="34"/>
      <c r="H35" s="34"/>
      <c r="I35" s="34"/>
      <c r="J35" s="34"/>
      <c r="K35" s="34"/>
      <c r="L35" s="34"/>
      <c r="M35" s="34"/>
      <c r="N35" s="33"/>
    </row>
    <row r="36" spans="4:14" x14ac:dyDescent="0.25">
      <c r="D36" s="33"/>
      <c r="E36" s="37"/>
      <c r="F36" s="33"/>
      <c r="G36" s="33"/>
      <c r="H36" s="33"/>
      <c r="I36" s="33"/>
      <c r="J36" s="33"/>
      <c r="K36" s="33"/>
      <c r="L36" s="33"/>
      <c r="M36" s="33"/>
      <c r="N36" s="33"/>
    </row>
    <row r="37" spans="4:14" x14ac:dyDescent="0.25">
      <c r="E37" s="38"/>
    </row>
  </sheetData>
  <mergeCells count="11">
    <mergeCell ref="B1:C1"/>
    <mergeCell ref="A1:A2"/>
    <mergeCell ref="D1:D2"/>
    <mergeCell ref="N21:N22"/>
    <mergeCell ref="E23:E25"/>
    <mergeCell ref="E27:E29"/>
    <mergeCell ref="H21:L21"/>
    <mergeCell ref="M21:M22"/>
    <mergeCell ref="E21:E22"/>
    <mergeCell ref="F21:F22"/>
    <mergeCell ref="G21:G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Егор</cp:lastModifiedBy>
  <dcterms:created xsi:type="dcterms:W3CDTF">2026-01-26T05:24:44Z</dcterms:created>
  <dcterms:modified xsi:type="dcterms:W3CDTF">2026-01-29T22:23:15Z</dcterms:modified>
</cp:coreProperties>
</file>