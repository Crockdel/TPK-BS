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Titanium2\Classwork\П-40\ММ\Проверочная по составлению математических моделей\"/>
    </mc:Choice>
  </mc:AlternateContent>
  <xr:revisionPtr revIDLastSave="0" documentId="13_ncr:1_{BB3626A1-A2EF-40E1-9647-25FA2706F793}" xr6:coauthVersionLast="47" xr6:coauthVersionMax="47" xr10:uidLastSave="{00000000-0000-0000-0000-000000000000}"/>
  <bookViews>
    <workbookView xWindow="0" yWindow="450" windowWidth="14400" windowHeight="15150" xr2:uid="{9EA43809-96E0-40A8-93E0-18AC6993F491}"/>
  </bookViews>
  <sheets>
    <sheet name="Симплекс" sheetId="1" r:id="rId1"/>
    <sheet name="Поиск решения" sheetId="2" r:id="rId2"/>
  </sheets>
  <definedNames>
    <definedName name="solver_adj" localSheetId="1" hidden="1">'Поиск решения'!$K$4:$M$4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'Поиск решения'!$G$3</definedName>
    <definedName name="solver_lhs2" localSheetId="1" hidden="1">'Поиск решения'!$G$4</definedName>
    <definedName name="solver_lhs3" localSheetId="1" hidden="1">'Поиск решения'!$G$5</definedName>
    <definedName name="solver_lhs4" localSheetId="1" hidden="1">'Поиск решения'!$K$4:$M$4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4</definedName>
    <definedName name="solver_nwt" localSheetId="1" hidden="1">1</definedName>
    <definedName name="solver_opt" localSheetId="1" hidden="1">'Поиск решения'!$O$3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1</definedName>
    <definedName name="solver_rel3" localSheetId="1" hidden="1">1</definedName>
    <definedName name="solver_rel4" localSheetId="1" hidden="1">4</definedName>
    <definedName name="solver_rhs1" localSheetId="1" hidden="1">'Поиск решения'!$I$3</definedName>
    <definedName name="solver_rhs2" localSheetId="1" hidden="1">'Поиск решения'!$I$4</definedName>
    <definedName name="solver_rhs3" localSheetId="1" hidden="1">'Поиск решения'!$I$5</definedName>
    <definedName name="solver_rhs4" localSheetId="1" hidden="1">"целое"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1" l="1"/>
  <c r="M9" i="1"/>
  <c r="M10" i="1"/>
  <c r="K10" i="1"/>
  <c r="O3" i="2"/>
  <c r="N10" i="1"/>
  <c r="L10" i="1"/>
  <c r="O10" i="1"/>
  <c r="R5" i="1"/>
  <c r="R4" i="1"/>
  <c r="G5" i="2"/>
  <c r="G4" i="2"/>
  <c r="G3" i="2"/>
  <c r="R3" i="1"/>
  <c r="P10" i="1"/>
  <c r="Q10" i="1"/>
  <c r="L8" i="1"/>
  <c r="N8" i="1"/>
  <c r="O8" i="1"/>
  <c r="P8" i="1"/>
  <c r="Q8" i="1"/>
  <c r="K8" i="1"/>
  <c r="M7" i="1"/>
  <c r="L7" i="1"/>
  <c r="N7" i="1"/>
  <c r="O7" i="1"/>
  <c r="P7" i="1"/>
  <c r="Q7" i="1"/>
  <c r="K7" i="1"/>
  <c r="N9" i="1"/>
  <c r="O9" i="1"/>
  <c r="P9" i="1"/>
  <c r="Q9" i="1"/>
</calcChain>
</file>

<file path=xl/sharedStrings.xml><?xml version="1.0" encoding="utf-8"?>
<sst xmlns="http://schemas.openxmlformats.org/spreadsheetml/2006/main" count="55" uniqueCount="36">
  <si>
    <t>max</t>
  </si>
  <si>
    <t>ассорти</t>
  </si>
  <si>
    <t>грибная</t>
  </si>
  <si>
    <t>Норма затрат на изготовление 100 шт. пиццы, кг</t>
  </si>
  <si>
    <t>Продукты</t>
  </si>
  <si>
    <t>Грибы</t>
  </si>
  <si>
    <t>Колбаса</t>
  </si>
  <si>
    <t>Тесто</t>
  </si>
  <si>
    <t>Цена за 100 шт., тыс. руб</t>
  </si>
  <si>
    <t>Запасы продуктов, кг</t>
  </si>
  <si>
    <t>Определить</t>
  </si>
  <si>
    <t>салями</t>
  </si>
  <si>
    <t>План</t>
  </si>
  <si>
    <t>Базисные переменные</t>
  </si>
  <si>
    <t>Значения базисных переменных</t>
  </si>
  <si>
    <t>Значения коэффицентов, aij</t>
  </si>
  <si>
    <r>
      <rPr>
        <sz val="11"/>
        <rFont val="Calibri"/>
        <family val="2"/>
      </rPr>
      <t>Θ</t>
    </r>
    <r>
      <rPr>
        <sz val="11"/>
        <rFont val="Calibri"/>
        <family val="2"/>
        <scheme val="minor"/>
      </rPr>
      <t>,min</t>
    </r>
  </si>
  <si>
    <r>
      <t>x</t>
    </r>
    <r>
      <rPr>
        <vertAlign val="subscript"/>
        <sz val="11"/>
        <rFont val="Calibri"/>
        <family val="2"/>
        <charset val="204"/>
        <scheme val="minor"/>
      </rPr>
      <t>1</t>
    </r>
  </si>
  <si>
    <r>
      <t>x</t>
    </r>
    <r>
      <rPr>
        <vertAlign val="subscript"/>
        <sz val="11"/>
        <rFont val="Calibri"/>
        <family val="2"/>
        <charset val="204"/>
        <scheme val="minor"/>
      </rPr>
      <t>2</t>
    </r>
  </si>
  <si>
    <r>
      <t>x</t>
    </r>
    <r>
      <rPr>
        <vertAlign val="subscript"/>
        <sz val="11"/>
        <rFont val="Calibri"/>
        <family val="2"/>
        <charset val="204"/>
        <scheme val="minor"/>
      </rPr>
      <t>3</t>
    </r>
  </si>
  <si>
    <r>
      <t>x</t>
    </r>
    <r>
      <rPr>
        <vertAlign val="subscript"/>
        <sz val="11"/>
        <rFont val="Calibri"/>
        <family val="2"/>
        <charset val="204"/>
        <scheme val="minor"/>
      </rPr>
      <t>4</t>
    </r>
  </si>
  <si>
    <r>
      <t>x</t>
    </r>
    <r>
      <rPr>
        <vertAlign val="subscript"/>
        <sz val="11"/>
        <rFont val="Calibri"/>
        <family val="2"/>
        <charset val="204"/>
        <scheme val="minor"/>
      </rPr>
      <t>5</t>
    </r>
  </si>
  <si>
    <r>
      <t>x</t>
    </r>
    <r>
      <rPr>
        <vertAlign val="subscript"/>
        <sz val="11"/>
        <rFont val="Calibri"/>
        <family val="2"/>
        <charset val="204"/>
        <scheme val="minor"/>
      </rPr>
      <t>6</t>
    </r>
  </si>
  <si>
    <t>I</t>
  </si>
  <si>
    <r>
      <t>x</t>
    </r>
    <r>
      <rPr>
        <vertAlign val="subscript"/>
        <sz val="11"/>
        <rFont val="Calibri"/>
        <family val="2"/>
        <scheme val="minor"/>
      </rPr>
      <t>5</t>
    </r>
  </si>
  <si>
    <t>Индексная тстрока</t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</si>
  <si>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</si>
  <si>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</si>
  <si>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t>Переменные</t>
  </si>
  <si>
    <t>&lt;=</t>
  </si>
  <si>
    <t>Целевая функция</t>
  </si>
  <si>
    <t>II</t>
  </si>
  <si>
    <r>
      <t>x</t>
    </r>
    <r>
      <rPr>
        <vertAlign val="subscript"/>
        <sz val="11"/>
        <rFont val="Calibri"/>
        <family val="2"/>
        <scheme val="minor"/>
      </rPr>
      <t>4</t>
    </r>
  </si>
  <si>
    <r>
      <t>→x</t>
    </r>
    <r>
      <rPr>
        <vertAlign val="subscript"/>
        <sz val="11"/>
        <rFont val="Calibri"/>
        <family val="2"/>
        <scheme val="minor"/>
      </rPr>
      <t>6</t>
    </r>
  </si>
  <si>
    <t>=</t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</si>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</sst>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vertAlign val="subscript"/>
      <sz val="11"/>
      <name val="Calibri"/>
      <family val="2"/>
      <charset val="204"/>
      <scheme val="minor"/>
    </font>
    <font>
      <vertAlign val="subscript"/>
      <sz val="11"/>
      <name val="Calibri"/>
      <family val="2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textRotation="90" wrapText="1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textRotation="90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9" xfId="0" applyFont="1" applyFill="1" applyBorder="1"/>
    <xf numFmtId="0" fontId="2" fillId="5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Fill="1" applyBorder="1" applyAlignment="1">
      <alignment horizontal="center" vertical="center"/>
    </xf>
    <xf numFmtId="0" fontId="2" fillId="5" borderId="2" xfId="0" applyFont="1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/>
    </xf>
    <xf numFmtId="0" fontId="0" fillId="7" borderId="2" xfId="0" applyFill="1" applyBorder="1"/>
    <xf numFmtId="0" fontId="0" fillId="7" borderId="2" xfId="0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0" fillId="6" borderId="2" xfId="0" applyFill="1" applyBorder="1"/>
    <xf numFmtId="0" fontId="0" fillId="6" borderId="2" xfId="0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0" fillId="0" borderId="3" xfId="0" applyBorder="1"/>
    <xf numFmtId="0" fontId="0" fillId="0" borderId="6" xfId="0" applyBorder="1"/>
    <xf numFmtId="0" fontId="0" fillId="3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6" borderId="11" xfId="0" applyFill="1" applyBorder="1"/>
    <xf numFmtId="0" fontId="0" fillId="0" borderId="9" xfId="0" applyBorder="1"/>
    <xf numFmtId="0" fontId="0" fillId="3" borderId="9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2" xfId="0" applyBorder="1"/>
    <xf numFmtId="0" fontId="0" fillId="4" borderId="2" xfId="0" applyFill="1" applyBorder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971550</xdr:colOff>
      <xdr:row>6</xdr:row>
      <xdr:rowOff>133350</xdr:rowOff>
    </xdr:from>
    <xdr:to>
      <xdr:col>0</xdr:col>
      <xdr:colOff>2114550</xdr:colOff>
      <xdr:row>7</xdr:row>
      <xdr:rowOff>180975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495BE19F-D7C1-E42C-D646-0A9B99B50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1752600"/>
          <a:ext cx="1143000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1876425</xdr:colOff>
      <xdr:row>13</xdr:row>
      <xdr:rowOff>76200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7C2F57A6-231C-6B04-7647-4D9397F1E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0"/>
          <a:ext cx="1876425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95250</xdr:colOff>
      <xdr:row>13</xdr:row>
      <xdr:rowOff>161925</xdr:rowOff>
    </xdr:from>
    <xdr:to>
      <xdr:col>1</xdr:col>
      <xdr:colOff>323850</xdr:colOff>
      <xdr:row>15</xdr:row>
      <xdr:rowOff>28575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A5E09D34-A6A8-EBDF-5C0E-9CF1515C1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114675"/>
          <a:ext cx="244792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238125</xdr:colOff>
      <xdr:row>16</xdr:row>
      <xdr:rowOff>19050</xdr:rowOff>
    </xdr:from>
    <xdr:to>
      <xdr:col>1</xdr:col>
      <xdr:colOff>285750</xdr:colOff>
      <xdr:row>20</xdr:row>
      <xdr:rowOff>95250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E4B48F99-586B-55C3-C172-973E1CF14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3486150"/>
          <a:ext cx="226695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114300</xdr:colOff>
      <xdr:row>8</xdr:row>
      <xdr:rowOff>38100</xdr:rowOff>
    </xdr:from>
    <xdr:to>
      <xdr:col>3</xdr:col>
      <xdr:colOff>695325</xdr:colOff>
      <xdr:row>10</xdr:row>
      <xdr:rowOff>161925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6056FFD2-2329-7B8A-1FF7-0E8BABC99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2350" y="1981200"/>
          <a:ext cx="1809750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95250</xdr:colOff>
      <xdr:row>12</xdr:row>
      <xdr:rowOff>57150</xdr:rowOff>
    </xdr:from>
    <xdr:to>
      <xdr:col>4</xdr:col>
      <xdr:colOff>47625</xdr:colOff>
      <xdr:row>16</xdr:row>
      <xdr:rowOff>142875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47FD5C9B-E088-C297-1F94-2AB5AC58C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2762250"/>
          <a:ext cx="2409825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85725</xdr:colOff>
      <xdr:row>17</xdr:row>
      <xdr:rowOff>171450</xdr:rowOff>
    </xdr:from>
    <xdr:to>
      <xdr:col>4</xdr:col>
      <xdr:colOff>66675</xdr:colOff>
      <xdr:row>19</xdr:row>
      <xdr:rowOff>38100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B2BEAEA2-A063-6EA5-40B0-C5766906B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3775" y="3829050"/>
          <a:ext cx="24384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38100</xdr:colOff>
      <xdr:row>5</xdr:row>
      <xdr:rowOff>66675</xdr:rowOff>
    </xdr:from>
    <xdr:to>
      <xdr:col>9</xdr:col>
      <xdr:colOff>485775</xdr:colOff>
      <xdr:row>5</xdr:row>
      <xdr:rowOff>314325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85CD5A4-641B-4ACB-BEFE-3CF7B76FD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77325" y="264795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100853</xdr:colOff>
      <xdr:row>9</xdr:row>
      <xdr:rowOff>168088</xdr:rowOff>
    </xdr:from>
    <xdr:to>
      <xdr:col>9</xdr:col>
      <xdr:colOff>548528</xdr:colOff>
      <xdr:row>9</xdr:row>
      <xdr:rowOff>415738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084409C-C3E1-4517-B5C7-E57DE3D60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12088" y="2823882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82827</xdr:colOff>
      <xdr:row>19</xdr:row>
      <xdr:rowOff>140804</xdr:rowOff>
    </xdr:from>
    <xdr:to>
      <xdr:col>8</xdr:col>
      <xdr:colOff>540027</xdr:colOff>
      <xdr:row>21</xdr:row>
      <xdr:rowOff>7454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89445058-B737-4FED-A80E-68DA22E6A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65436" y="4870174"/>
          <a:ext cx="4572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971550</xdr:colOff>
      <xdr:row>6</xdr:row>
      <xdr:rowOff>133350</xdr:rowOff>
    </xdr:from>
    <xdr:to>
      <xdr:col>0</xdr:col>
      <xdr:colOff>2114550</xdr:colOff>
      <xdr:row>7</xdr:row>
      <xdr:rowOff>180975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DE45F9F-9966-473F-A22E-0976608BB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2228850"/>
          <a:ext cx="1143000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3</xdr:col>
      <xdr:colOff>352424</xdr:colOff>
      <xdr:row>13</xdr:row>
      <xdr:rowOff>76200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2FCE419-39F9-451C-BD37-C44D344C5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2181224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95250</xdr:colOff>
      <xdr:row>13</xdr:row>
      <xdr:rowOff>161925</xdr:rowOff>
    </xdr:from>
    <xdr:to>
      <xdr:col>3</xdr:col>
      <xdr:colOff>495300</xdr:colOff>
      <xdr:row>15</xdr:row>
      <xdr:rowOff>28575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3984F4B-D924-4621-A7D4-2ECE780A0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638425"/>
          <a:ext cx="22288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295275</xdr:colOff>
      <xdr:row>6</xdr:row>
      <xdr:rowOff>180975</xdr:rowOff>
    </xdr:from>
    <xdr:to>
      <xdr:col>3</xdr:col>
      <xdr:colOff>219075</xdr:colOff>
      <xdr:row>8</xdr:row>
      <xdr:rowOff>38100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FD8793A-4D18-49AB-8FF0-CAF2E9948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" y="1323975"/>
          <a:ext cx="1143000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25DAB-9E19-4891-AC39-4F7B632B2A8F}">
  <dimension ref="A1:R21"/>
  <sheetViews>
    <sheetView tabSelected="1" topLeftCell="D1" zoomScale="85" zoomScaleNormal="85" workbookViewId="0">
      <selection activeCell="G25" sqref="G25"/>
    </sheetView>
  </sheetViews>
  <sheetFormatPr defaultRowHeight="15" x14ac:dyDescent="0.25"/>
  <cols>
    <col min="1" max="1" width="33.28515625" customWidth="1"/>
    <col min="2" max="4" width="18.42578125" customWidth="1"/>
    <col min="5" max="5" width="11.42578125" customWidth="1"/>
    <col min="8" max="8" width="6" customWidth="1"/>
    <col min="9" max="9" width="13.85546875" customWidth="1"/>
  </cols>
  <sheetData>
    <row r="1" spans="1:18" ht="48" customHeight="1" x14ac:dyDescent="0.25">
      <c r="A1" s="3" t="s">
        <v>4</v>
      </c>
      <c r="B1" s="5" t="s">
        <v>3</v>
      </c>
      <c r="C1" s="5"/>
      <c r="D1" s="5"/>
      <c r="E1" s="3" t="s">
        <v>9</v>
      </c>
      <c r="I1" s="6" t="s">
        <v>12</v>
      </c>
      <c r="J1" s="7" t="s">
        <v>13</v>
      </c>
      <c r="K1" s="7" t="s">
        <v>14</v>
      </c>
      <c r="L1" s="8" t="s">
        <v>15</v>
      </c>
      <c r="M1" s="8"/>
      <c r="N1" s="8"/>
      <c r="O1" s="8"/>
      <c r="P1" s="8"/>
      <c r="Q1" s="8"/>
      <c r="R1" s="6" t="s">
        <v>16</v>
      </c>
    </row>
    <row r="2" spans="1:18" ht="18.75" thickBot="1" x14ac:dyDescent="0.3">
      <c r="A2" s="4"/>
      <c r="B2" s="1" t="s">
        <v>1</v>
      </c>
      <c r="C2" s="1" t="s">
        <v>2</v>
      </c>
      <c r="D2" s="1" t="s">
        <v>11</v>
      </c>
      <c r="E2" s="4"/>
      <c r="I2" s="9"/>
      <c r="J2" s="10"/>
      <c r="K2" s="10"/>
      <c r="L2" s="11" t="s">
        <v>17</v>
      </c>
      <c r="M2" s="13" t="s">
        <v>18</v>
      </c>
      <c r="N2" s="12" t="s">
        <v>19</v>
      </c>
      <c r="O2" s="12" t="s">
        <v>20</v>
      </c>
      <c r="P2" s="12" t="s">
        <v>21</v>
      </c>
      <c r="Q2" s="12" t="s">
        <v>22</v>
      </c>
      <c r="R2" s="9"/>
    </row>
    <row r="3" spans="1:18" ht="18" x14ac:dyDescent="0.25">
      <c r="A3" s="1" t="s">
        <v>5</v>
      </c>
      <c r="B3" s="1">
        <v>6</v>
      </c>
      <c r="C3" s="1">
        <v>7</v>
      </c>
      <c r="D3" s="1">
        <v>2</v>
      </c>
      <c r="E3" s="1">
        <v>20</v>
      </c>
      <c r="I3" s="14" t="s">
        <v>23</v>
      </c>
      <c r="J3" s="17" t="s">
        <v>32</v>
      </c>
      <c r="K3" s="33">
        <v>20</v>
      </c>
      <c r="L3" s="34">
        <v>6</v>
      </c>
      <c r="M3" s="35">
        <v>7</v>
      </c>
      <c r="N3" s="35">
        <v>2</v>
      </c>
      <c r="O3" s="36">
        <v>1</v>
      </c>
      <c r="P3" s="36">
        <v>0</v>
      </c>
      <c r="Q3" s="36">
        <v>0</v>
      </c>
      <c r="R3" s="37">
        <f>K3/L3</f>
        <v>3.3333333333333335</v>
      </c>
    </row>
    <row r="4" spans="1:18" ht="18" x14ac:dyDescent="0.25">
      <c r="A4" s="1" t="s">
        <v>6</v>
      </c>
      <c r="B4" s="1">
        <v>5</v>
      </c>
      <c r="C4" s="1">
        <v>2</v>
      </c>
      <c r="D4" s="1">
        <v>8</v>
      </c>
      <c r="E4" s="1">
        <v>18</v>
      </c>
      <c r="I4" s="15"/>
      <c r="J4" s="18" t="s">
        <v>24</v>
      </c>
      <c r="K4" s="21">
        <v>18</v>
      </c>
      <c r="L4" s="24">
        <v>5</v>
      </c>
      <c r="M4" s="1">
        <v>2</v>
      </c>
      <c r="N4" s="1">
        <v>8</v>
      </c>
      <c r="O4" s="22">
        <v>0</v>
      </c>
      <c r="P4" s="22">
        <v>1</v>
      </c>
      <c r="Q4" s="22">
        <v>0</v>
      </c>
      <c r="R4" s="38">
        <f>K4/L4</f>
        <v>3.6</v>
      </c>
    </row>
    <row r="5" spans="1:18" ht="18" x14ac:dyDescent="0.25">
      <c r="A5" s="1" t="s">
        <v>7</v>
      </c>
      <c r="B5" s="1">
        <v>10</v>
      </c>
      <c r="C5" s="1">
        <v>8</v>
      </c>
      <c r="D5" s="1">
        <v>6</v>
      </c>
      <c r="E5" s="1">
        <v>25</v>
      </c>
      <c r="I5" s="15"/>
      <c r="J5" s="27" t="s">
        <v>33</v>
      </c>
      <c r="K5" s="28">
        <v>25</v>
      </c>
      <c r="L5" s="26">
        <v>10</v>
      </c>
      <c r="M5" s="29">
        <v>8</v>
      </c>
      <c r="N5" s="29">
        <v>6</v>
      </c>
      <c r="O5" s="29">
        <v>0</v>
      </c>
      <c r="P5" s="29">
        <v>0</v>
      </c>
      <c r="Q5" s="29">
        <v>1</v>
      </c>
      <c r="R5" s="39">
        <f>K5/L5</f>
        <v>2.5</v>
      </c>
    </row>
    <row r="6" spans="1:18" ht="30.75" thickBot="1" x14ac:dyDescent="0.3">
      <c r="A6" s="1" t="s">
        <v>8</v>
      </c>
      <c r="B6" s="1">
        <v>9</v>
      </c>
      <c r="C6" s="1">
        <v>6</v>
      </c>
      <c r="D6" s="1">
        <v>5</v>
      </c>
      <c r="E6" s="1" t="s">
        <v>0</v>
      </c>
      <c r="I6" s="16" t="s">
        <v>25</v>
      </c>
      <c r="J6" s="19"/>
      <c r="K6" s="40">
        <v>0</v>
      </c>
      <c r="L6" s="41">
        <v>-9</v>
      </c>
      <c r="M6" s="42">
        <v>-6</v>
      </c>
      <c r="N6" s="42">
        <v>-5</v>
      </c>
      <c r="O6" s="43">
        <v>0</v>
      </c>
      <c r="P6" s="43">
        <v>0</v>
      </c>
      <c r="Q6" s="43">
        <v>0</v>
      </c>
      <c r="R6" s="44"/>
    </row>
    <row r="7" spans="1:18" ht="18" x14ac:dyDescent="0.25">
      <c r="I7" s="30" t="s">
        <v>31</v>
      </c>
      <c r="J7" s="31" t="s">
        <v>32</v>
      </c>
      <c r="K7" s="32">
        <f>K3-($L$3*K5)/$L$5</f>
        <v>5</v>
      </c>
      <c r="L7" s="32">
        <f t="shared" ref="L7:Q7" si="0">L3-($L$3*L5)/$L$5</f>
        <v>0</v>
      </c>
      <c r="M7" s="32">
        <f>M3-($L$3*M5)/$L$5</f>
        <v>2.2000000000000002</v>
      </c>
      <c r="N7" s="32">
        <f t="shared" si="0"/>
        <v>-1.6</v>
      </c>
      <c r="O7" s="32">
        <f t="shared" si="0"/>
        <v>1</v>
      </c>
      <c r="P7" s="32">
        <f t="shared" si="0"/>
        <v>0</v>
      </c>
      <c r="Q7" s="32">
        <f t="shared" si="0"/>
        <v>-0.6</v>
      </c>
      <c r="R7" s="32"/>
    </row>
    <row r="8" spans="1:18" ht="18" x14ac:dyDescent="0.25">
      <c r="A8" s="2" t="s">
        <v>10</v>
      </c>
      <c r="I8" s="20"/>
      <c r="J8" s="18" t="s">
        <v>24</v>
      </c>
      <c r="K8" s="21">
        <f>K4-($L$4*K5)/$L$5</f>
        <v>5.5</v>
      </c>
      <c r="L8" s="21">
        <f t="shared" ref="L8:Q8" si="1">L4-($L$4*L5)/$L$5</f>
        <v>0</v>
      </c>
      <c r="M8" s="21">
        <f>M4-($L$4*M5)/$L$5</f>
        <v>-2</v>
      </c>
      <c r="N8" s="21">
        <f t="shared" si="1"/>
        <v>5</v>
      </c>
      <c r="O8" s="21">
        <f t="shared" si="1"/>
        <v>0</v>
      </c>
      <c r="P8" s="21">
        <f t="shared" si="1"/>
        <v>1</v>
      </c>
      <c r="Q8" s="21">
        <f t="shared" si="1"/>
        <v>-0.5</v>
      </c>
      <c r="R8" s="21"/>
    </row>
    <row r="9" spans="1:18" ht="18" x14ac:dyDescent="0.25">
      <c r="I9" s="20"/>
      <c r="J9" s="18" t="s">
        <v>17</v>
      </c>
      <c r="K9" s="21">
        <v>2.5</v>
      </c>
      <c r="L9" s="21">
        <v>1</v>
      </c>
      <c r="M9" s="21">
        <f>M5/$L$5</f>
        <v>0.8</v>
      </c>
      <c r="N9" s="21">
        <f t="shared" ref="N9:Q9" si="2">N5/$L$5</f>
        <v>0.6</v>
      </c>
      <c r="O9" s="21">
        <f t="shared" si="2"/>
        <v>0</v>
      </c>
      <c r="P9" s="21">
        <f t="shared" si="2"/>
        <v>0</v>
      </c>
      <c r="Q9" s="21">
        <f t="shared" si="2"/>
        <v>0.1</v>
      </c>
      <c r="R9" s="21"/>
    </row>
    <row r="10" spans="1:18" ht="30" x14ac:dyDescent="0.25">
      <c r="I10" s="23" t="s">
        <v>25</v>
      </c>
      <c r="J10" s="21"/>
      <c r="K10" s="21">
        <f>K6-(K5*$L$6)/$L$5</f>
        <v>22.5</v>
      </c>
      <c r="L10" s="21">
        <f>L6-(L5*$L$6)/$L$5</f>
        <v>0</v>
      </c>
      <c r="M10" s="21">
        <f>M6-(M5*$L$6)/$L$5</f>
        <v>1.2000000000000002</v>
      </c>
      <c r="N10" s="21">
        <f>N6-(N5*$L$6)/$L$5</f>
        <v>0.40000000000000036</v>
      </c>
      <c r="O10" s="21">
        <f>O6-(O5*$L$6)/$L$5</f>
        <v>0</v>
      </c>
      <c r="P10" s="21">
        <f t="shared" ref="L10:Q10" si="3">P6-(P5*$L$6)/$L$5</f>
        <v>0</v>
      </c>
      <c r="Q10" s="21">
        <f t="shared" si="3"/>
        <v>0.9</v>
      </c>
      <c r="R10" s="21"/>
    </row>
    <row r="21" spans="10:10" x14ac:dyDescent="0.25">
      <c r="J21" t="s">
        <v>34</v>
      </c>
    </row>
  </sheetData>
  <mergeCells count="10">
    <mergeCell ref="K1:K2"/>
    <mergeCell ref="L1:Q1"/>
    <mergeCell ref="R1:R2"/>
    <mergeCell ref="I3:I5"/>
    <mergeCell ref="I7:I9"/>
    <mergeCell ref="A1:A2"/>
    <mergeCell ref="B1:D1"/>
    <mergeCell ref="E1:E2"/>
    <mergeCell ref="I1:I2"/>
    <mergeCell ref="J1:J2"/>
  </mergeCells>
  <phoneticPr fontId="7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3004A-D4D5-42F1-8E61-282F608F456B}">
  <dimension ref="A1:O10"/>
  <sheetViews>
    <sheetView zoomScale="70" zoomScaleNormal="70" workbookViewId="0">
      <selection activeCell="O3" sqref="O3"/>
    </sheetView>
  </sheetViews>
  <sheetFormatPr defaultRowHeight="15" x14ac:dyDescent="0.25"/>
  <sheetData>
    <row r="1" spans="1:15" x14ac:dyDescent="0.25">
      <c r="A1" s="3" t="s">
        <v>4</v>
      </c>
      <c r="B1" s="5" t="s">
        <v>3</v>
      </c>
      <c r="C1" s="5"/>
      <c r="D1" s="5"/>
      <c r="E1" s="3" t="s">
        <v>9</v>
      </c>
    </row>
    <row r="2" spans="1:15" x14ac:dyDescent="0.25">
      <c r="A2" s="4"/>
      <c r="B2" s="1" t="s">
        <v>1</v>
      </c>
      <c r="C2" s="1" t="s">
        <v>2</v>
      </c>
      <c r="D2" s="1" t="s">
        <v>11</v>
      </c>
      <c r="E2" s="4"/>
      <c r="G2" t="s">
        <v>10</v>
      </c>
      <c r="K2" t="s">
        <v>28</v>
      </c>
      <c r="O2" t="s">
        <v>30</v>
      </c>
    </row>
    <row r="3" spans="1:15" ht="18" x14ac:dyDescent="0.35">
      <c r="A3" s="1" t="s">
        <v>5</v>
      </c>
      <c r="B3" s="1">
        <v>6</v>
      </c>
      <c r="C3" s="1">
        <v>7</v>
      </c>
      <c r="D3" s="1">
        <v>2</v>
      </c>
      <c r="E3" s="1">
        <v>20</v>
      </c>
      <c r="G3">
        <f>SUMPRODUCT(B3:D3,K4:M4)</f>
        <v>15</v>
      </c>
      <c r="H3" t="s">
        <v>29</v>
      </c>
      <c r="I3">
        <v>20</v>
      </c>
      <c r="K3" s="45" t="s">
        <v>26</v>
      </c>
      <c r="L3" s="45" t="s">
        <v>27</v>
      </c>
      <c r="M3" s="45" t="s">
        <v>35</v>
      </c>
      <c r="O3">
        <f>SUMPRODUCT(B6:D6,K4:M4)</f>
        <v>20</v>
      </c>
    </row>
    <row r="4" spans="1:15" x14ac:dyDescent="0.25">
      <c r="A4" s="1" t="s">
        <v>6</v>
      </c>
      <c r="B4" s="1">
        <v>5</v>
      </c>
      <c r="C4" s="1">
        <v>2</v>
      </c>
      <c r="D4" s="1">
        <v>8</v>
      </c>
      <c r="E4" s="1">
        <v>18</v>
      </c>
      <c r="G4">
        <f>SUMPRODUCT(B4:D4,K4:M4)</f>
        <v>15</v>
      </c>
      <c r="H4" t="s">
        <v>29</v>
      </c>
      <c r="I4">
        <v>18</v>
      </c>
      <c r="K4" s="25">
        <v>1</v>
      </c>
      <c r="L4" s="25">
        <v>1</v>
      </c>
      <c r="M4" s="25">
        <v>1</v>
      </c>
    </row>
    <row r="5" spans="1:15" x14ac:dyDescent="0.25">
      <c r="A5" s="1" t="s">
        <v>7</v>
      </c>
      <c r="B5" s="1">
        <v>10</v>
      </c>
      <c r="C5" s="1">
        <v>8</v>
      </c>
      <c r="D5" s="1">
        <v>6</v>
      </c>
      <c r="E5" s="1">
        <v>25</v>
      </c>
      <c r="G5">
        <f>SUMPRODUCT(B5:D5,K4:M4)</f>
        <v>24</v>
      </c>
      <c r="H5" t="s">
        <v>29</v>
      </c>
      <c r="I5">
        <v>25</v>
      </c>
    </row>
    <row r="6" spans="1:15" x14ac:dyDescent="0.25">
      <c r="A6" s="1" t="s">
        <v>8</v>
      </c>
      <c r="B6" s="1">
        <v>9</v>
      </c>
      <c r="C6" s="1">
        <v>6</v>
      </c>
      <c r="D6" s="1">
        <v>5</v>
      </c>
      <c r="E6" s="1" t="s">
        <v>0</v>
      </c>
    </row>
    <row r="8" spans="1:15" x14ac:dyDescent="0.25">
      <c r="A8" s="2" t="s">
        <v>10</v>
      </c>
    </row>
    <row r="10" spans="1:15" x14ac:dyDescent="0.25">
      <c r="N10" s="46"/>
    </row>
  </sheetData>
  <mergeCells count="3">
    <mergeCell ref="A1:A2"/>
    <mergeCell ref="B1:D1"/>
    <mergeCell ref="E1:E2"/>
  </mergeCells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Симплекс</vt:lpstr>
      <vt:lpstr>Поиск решения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2026-01-26T05:07:58Z</dcterms:created>
  <dcterms:modified xsi:type="dcterms:W3CDTF">2026-01-29T10:24:13Z</dcterms:modified>
</cp:coreProperties>
</file>