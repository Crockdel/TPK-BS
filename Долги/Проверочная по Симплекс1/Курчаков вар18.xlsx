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70" windowHeight="12270"/>
  </bookViews>
  <sheets>
    <sheet name="Симпликс" sheetId="1" r:id="rId1"/>
    <sheet name="Поиск решени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L10" i="1"/>
  <c r="M10" i="1"/>
  <c r="K10" i="1"/>
  <c r="I10" i="1"/>
  <c r="N8" i="1"/>
  <c r="M8" i="1"/>
  <c r="L8" i="1"/>
  <c r="K8" i="1"/>
  <c r="I8" i="1"/>
  <c r="K7" i="1"/>
  <c r="L7" i="1"/>
  <c r="M7" i="1"/>
  <c r="N7" i="1"/>
  <c r="P3" i="1"/>
  <c r="P4" i="1"/>
</calcChain>
</file>

<file path=xl/sharedStrings.xml><?xml version="1.0" encoding="utf-8"?>
<sst xmlns="http://schemas.openxmlformats.org/spreadsheetml/2006/main" count="40" uniqueCount="29">
  <si>
    <t>Поле</t>
  </si>
  <si>
    <t>Размер поля</t>
  </si>
  <si>
    <t>Культуры</t>
  </si>
  <si>
    <t>Картофель</t>
  </si>
  <si>
    <t>Морковь</t>
  </si>
  <si>
    <t>Свекла</t>
  </si>
  <si>
    <t>ǀ</t>
  </si>
  <si>
    <t>ǁ</t>
  </si>
  <si>
    <t>План по культурам</t>
  </si>
  <si>
    <t>Определить</t>
  </si>
  <si>
    <t>План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</si>
  <si>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</si>
  <si>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</si>
  <si>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</si>
  <si>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Θ, min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</si>
  <si>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</si>
  <si>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</si>
  <si>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</si>
  <si>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</si>
  <si>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</si>
  <si>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t>I</t>
  </si>
  <si>
    <t>Индексная строка</t>
  </si>
  <si>
    <t>II</t>
  </si>
  <si>
    <t>=</t>
  </si>
  <si>
    <t>F</t>
  </si>
  <si>
    <t>тыс.руб.</t>
  </si>
  <si>
    <t>ед.</t>
  </si>
  <si>
    <t>м2</t>
  </si>
  <si>
    <t>Недоиспользовано полей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</si>
</sst>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6569</xdr:colOff>
      <xdr:row>10</xdr:row>
      <xdr:rowOff>45983</xdr:rowOff>
    </xdr:from>
    <xdr:to>
      <xdr:col>2</xdr:col>
      <xdr:colOff>254219</xdr:colOff>
      <xdr:row>13</xdr:row>
      <xdr:rowOff>141233</xdr:rowOff>
    </xdr:to>
    <xdr:pic>
      <xdr:nvPicPr>
        <xdr:cNvPr id="10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9" y="2331983"/>
          <a:ext cx="1784788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26275</xdr:rowOff>
    </xdr:from>
    <xdr:to>
      <xdr:col>2</xdr:col>
      <xdr:colOff>590878</xdr:colOff>
      <xdr:row>9</xdr:row>
      <xdr:rowOff>16750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1275"/>
          <a:ext cx="2128016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111673</xdr:colOff>
      <xdr:row>6</xdr:row>
      <xdr:rowOff>19706</xdr:rowOff>
    </xdr:from>
    <xdr:to>
      <xdr:col>2</xdr:col>
      <xdr:colOff>377059</xdr:colOff>
      <xdr:row>7</xdr:row>
      <xdr:rowOff>10181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983" y="1543706"/>
          <a:ext cx="1106214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3</xdr:col>
      <xdr:colOff>428625</xdr:colOff>
      <xdr:row>19</xdr:row>
      <xdr:rowOff>57150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268605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99391</xdr:colOff>
      <xdr:row>5</xdr:row>
      <xdr:rowOff>107673</xdr:rowOff>
    </xdr:from>
    <xdr:to>
      <xdr:col>7</xdr:col>
      <xdr:colOff>547066</xdr:colOff>
      <xdr:row>5</xdr:row>
      <xdr:rowOff>317223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4B6B8F6-80E7-F141-BA7E-A87BCA943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191" y="1841223"/>
          <a:ext cx="447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2</xdr:col>
      <xdr:colOff>295275</xdr:colOff>
      <xdr:row>21</xdr:row>
      <xdr:rowOff>161925</xdr:rowOff>
    </xdr:to>
    <xdr:pic>
      <xdr:nvPicPr>
        <xdr:cNvPr id="9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1600"/>
          <a:ext cx="18288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3</xdr:col>
      <xdr:colOff>533400</xdr:colOff>
      <xdr:row>26</xdr:row>
      <xdr:rowOff>57150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3100"/>
          <a:ext cx="27908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99391</xdr:colOff>
      <xdr:row>9</xdr:row>
      <xdr:rowOff>140804</xdr:rowOff>
    </xdr:from>
    <xdr:to>
      <xdr:col>7</xdr:col>
      <xdr:colOff>547066</xdr:colOff>
      <xdr:row>9</xdr:row>
      <xdr:rowOff>350354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4A35E61-4D4B-1487-C35A-640258759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191" y="2941154"/>
          <a:ext cx="447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116370</xdr:colOff>
      <xdr:row>10</xdr:row>
      <xdr:rowOff>102706</xdr:rowOff>
    </xdr:from>
    <xdr:to>
      <xdr:col>6</xdr:col>
      <xdr:colOff>449745</xdr:colOff>
      <xdr:row>11</xdr:row>
      <xdr:rowOff>178906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4FD27B4-94AE-2274-AE6A-26848AE9D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9495" y="4541356"/>
          <a:ext cx="3333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124239</xdr:colOff>
      <xdr:row>12</xdr:row>
      <xdr:rowOff>173935</xdr:rowOff>
    </xdr:from>
    <xdr:to>
      <xdr:col>6</xdr:col>
      <xdr:colOff>457614</xdr:colOff>
      <xdr:row>14</xdr:row>
      <xdr:rowOff>9939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840E421-544D-DD88-6046-D8C8427D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7364" y="4993585"/>
          <a:ext cx="333375" cy="264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3</xdr:col>
      <xdr:colOff>523875</xdr:colOff>
      <xdr:row>28</xdr:row>
      <xdr:rowOff>57150</xdr:rowOff>
    </xdr:to>
    <xdr:pic>
      <xdr:nvPicPr>
        <xdr:cNvPr id="16" name="Рисунок 1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9925"/>
          <a:ext cx="2781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topLeftCell="A7" zoomScaleNormal="100" workbookViewId="0">
      <selection activeCell="G29" sqref="G29"/>
    </sheetView>
  </sheetViews>
  <sheetFormatPr defaultRowHeight="15" x14ac:dyDescent="0.25"/>
  <cols>
    <col min="1" max="1" width="10.42578125" customWidth="1"/>
    <col min="2" max="2" width="12.5703125" bestFit="1" customWidth="1"/>
    <col min="3" max="3" width="10.85546875" bestFit="1" customWidth="1"/>
    <col min="7" max="7" width="10.85546875" customWidth="1"/>
    <col min="14" max="14" width="6" customWidth="1"/>
    <col min="15" max="15" width="3.7109375" customWidth="1"/>
  </cols>
  <sheetData>
    <row r="1" spans="1:16" ht="18" x14ac:dyDescent="0.25">
      <c r="A1" s="5" t="s">
        <v>0</v>
      </c>
      <c r="B1" s="5" t="s">
        <v>1</v>
      </c>
      <c r="C1" s="5" t="s">
        <v>2</v>
      </c>
      <c r="D1" s="5"/>
      <c r="E1" s="5"/>
      <c r="G1" s="5" t="s">
        <v>10</v>
      </c>
      <c r="H1" s="6" t="s">
        <v>11</v>
      </c>
      <c r="I1" s="6" t="s">
        <v>12</v>
      </c>
      <c r="J1" s="5" t="s">
        <v>13</v>
      </c>
      <c r="K1" s="5"/>
      <c r="L1" s="5"/>
      <c r="M1" s="5"/>
      <c r="N1" s="5"/>
      <c r="O1" s="5"/>
      <c r="P1" s="5" t="s">
        <v>14</v>
      </c>
    </row>
    <row r="2" spans="1:16" ht="54" customHeight="1" x14ac:dyDescent="0.25">
      <c r="A2" s="5"/>
      <c r="B2" s="5"/>
      <c r="C2" s="1" t="s">
        <v>3</v>
      </c>
      <c r="D2" s="1" t="s">
        <v>4</v>
      </c>
      <c r="E2" s="1" t="s">
        <v>5</v>
      </c>
      <c r="G2" s="5"/>
      <c r="H2" s="6"/>
      <c r="I2" s="6"/>
      <c r="J2" s="4" t="s">
        <v>15</v>
      </c>
      <c r="K2" s="4" t="s">
        <v>16</v>
      </c>
      <c r="L2" s="4" t="s">
        <v>17</v>
      </c>
      <c r="M2" s="4" t="s">
        <v>18</v>
      </c>
      <c r="N2" s="20" t="s">
        <v>19</v>
      </c>
      <c r="O2" s="21"/>
      <c r="P2" s="5"/>
    </row>
    <row r="3" spans="1:16" ht="18" x14ac:dyDescent="0.25">
      <c r="A3" s="2" t="s">
        <v>6</v>
      </c>
      <c r="B3" s="1">
        <v>500</v>
      </c>
      <c r="C3" s="1">
        <v>87</v>
      </c>
      <c r="D3" s="1">
        <v>140</v>
      </c>
      <c r="E3" s="1">
        <v>62</v>
      </c>
      <c r="G3" s="5" t="s">
        <v>20</v>
      </c>
      <c r="H3" s="7" t="s">
        <v>18</v>
      </c>
      <c r="I3" s="8">
        <v>500</v>
      </c>
      <c r="J3" s="9">
        <v>87</v>
      </c>
      <c r="K3" s="4">
        <v>140</v>
      </c>
      <c r="L3" s="4">
        <v>62</v>
      </c>
      <c r="M3" s="8">
        <v>1</v>
      </c>
      <c r="N3" s="22">
        <v>0</v>
      </c>
      <c r="O3" s="23"/>
      <c r="P3" s="10">
        <f>I3/J3</f>
        <v>5.7471264367816088</v>
      </c>
    </row>
    <row r="4" spans="1:16" ht="18" customHeight="1" x14ac:dyDescent="0.25">
      <c r="A4" s="2" t="s">
        <v>7</v>
      </c>
      <c r="B4" s="1">
        <v>300</v>
      </c>
      <c r="C4" s="1">
        <v>35</v>
      </c>
      <c r="D4" s="1">
        <v>120</v>
      </c>
      <c r="E4" s="1">
        <v>53</v>
      </c>
      <c r="G4" s="5"/>
      <c r="H4" s="14" t="s">
        <v>19</v>
      </c>
      <c r="I4" s="16">
        <v>300</v>
      </c>
      <c r="J4" s="14">
        <v>35</v>
      </c>
      <c r="K4" s="14">
        <v>120</v>
      </c>
      <c r="L4" s="14">
        <v>53</v>
      </c>
      <c r="M4" s="16">
        <v>0</v>
      </c>
      <c r="N4" s="24">
        <v>1</v>
      </c>
      <c r="O4" s="25"/>
      <c r="P4" s="18">
        <f>I4/J4</f>
        <v>8.5714285714285712</v>
      </c>
    </row>
    <row r="5" spans="1:16" ht="45" x14ac:dyDescent="0.25">
      <c r="A5" s="3" t="s">
        <v>8</v>
      </c>
      <c r="B5" s="1"/>
      <c r="C5" s="1">
        <v>60</v>
      </c>
      <c r="D5" s="1">
        <v>50</v>
      </c>
      <c r="E5" s="1">
        <v>25</v>
      </c>
      <c r="G5" s="5"/>
      <c r="H5" s="15"/>
      <c r="I5" s="17"/>
      <c r="J5" s="15"/>
      <c r="K5" s="15"/>
      <c r="L5" s="15"/>
      <c r="M5" s="17"/>
      <c r="N5" s="26"/>
      <c r="O5" s="27"/>
      <c r="P5" s="19"/>
    </row>
    <row r="6" spans="1:16" ht="45" x14ac:dyDescent="0.25">
      <c r="G6" s="12" t="s">
        <v>21</v>
      </c>
      <c r="H6" s="4"/>
      <c r="I6" s="8">
        <v>0</v>
      </c>
      <c r="J6" s="13">
        <v>-60</v>
      </c>
      <c r="K6" s="8">
        <v>-50</v>
      </c>
      <c r="L6" s="8">
        <v>-25</v>
      </c>
      <c r="M6" s="8">
        <v>0</v>
      </c>
      <c r="N6" s="22">
        <v>0</v>
      </c>
      <c r="O6" s="23"/>
      <c r="P6" s="11"/>
    </row>
    <row r="7" spans="1:16" ht="18" x14ac:dyDescent="0.25">
      <c r="A7" t="s">
        <v>9</v>
      </c>
      <c r="G7" s="5" t="s">
        <v>22</v>
      </c>
      <c r="H7" s="4" t="s">
        <v>15</v>
      </c>
      <c r="I7" s="11">
        <v>5.7471259999999997</v>
      </c>
      <c r="J7" s="11">
        <v>1</v>
      </c>
      <c r="K7" s="11">
        <f>K3/J3</f>
        <v>1.6091954022988506</v>
      </c>
      <c r="L7" s="11">
        <f>L3/J3</f>
        <v>0.71264367816091956</v>
      </c>
      <c r="M7" s="11">
        <f>M3/J3</f>
        <v>1.1494252873563218E-2</v>
      </c>
      <c r="N7" s="31">
        <f>N3/L3</f>
        <v>0</v>
      </c>
      <c r="O7" s="32"/>
      <c r="P7" s="11"/>
    </row>
    <row r="8" spans="1:16" ht="18" customHeight="1" x14ac:dyDescent="0.25">
      <c r="G8" s="5"/>
      <c r="H8" s="14" t="s">
        <v>19</v>
      </c>
      <c r="I8" s="18">
        <f>I4-(I3*J4)/J3</f>
        <v>98.850574712643692</v>
      </c>
      <c r="J8" s="29">
        <v>0</v>
      </c>
      <c r="K8" s="18">
        <f>K4-(K3*$J$4)/$J$3</f>
        <v>63.678160919540232</v>
      </c>
      <c r="L8" s="18">
        <f t="shared" ref="L8:M8" si="0">L4-(L3*$J$4)/$J$3</f>
        <v>28.057471264367816</v>
      </c>
      <c r="M8" s="18">
        <f>M4-(M3*$J$4)/$J$3</f>
        <v>-0.40229885057471265</v>
      </c>
      <c r="N8" s="33">
        <f>N4-(N3*J4)/J3</f>
        <v>1</v>
      </c>
      <c r="O8" s="34"/>
      <c r="P8" s="29"/>
    </row>
    <row r="9" spans="1:16" x14ac:dyDescent="0.25">
      <c r="G9" s="5"/>
      <c r="H9" s="15"/>
      <c r="I9" s="19"/>
      <c r="J9" s="30"/>
      <c r="K9" s="19"/>
      <c r="L9" s="19"/>
      <c r="M9" s="19"/>
      <c r="N9" s="35"/>
      <c r="O9" s="36"/>
      <c r="P9" s="30"/>
    </row>
    <row r="10" spans="1:16" ht="45" x14ac:dyDescent="0.25">
      <c r="G10" s="12" t="s">
        <v>21</v>
      </c>
      <c r="H10" s="11"/>
      <c r="I10" s="11">
        <f>I6-(I3*J6)/J3</f>
        <v>344.82758620689657</v>
      </c>
      <c r="J10" s="28">
        <v>0</v>
      </c>
      <c r="K10" s="11">
        <f>K6-(K3*$J$6)/$J$3</f>
        <v>46.551724137931032</v>
      </c>
      <c r="L10" s="11">
        <f t="shared" ref="L10:M10" si="1">L6-(L3*$J$6)/$J$3</f>
        <v>17.758620689655174</v>
      </c>
      <c r="M10" s="11">
        <f t="shared" si="1"/>
        <v>0.68965517241379315</v>
      </c>
      <c r="N10" s="31">
        <f>N6-(N3*J6)/J3</f>
        <v>0</v>
      </c>
      <c r="O10" s="32"/>
      <c r="P10" s="11"/>
    </row>
    <row r="12" spans="1:16" x14ac:dyDescent="0.25">
      <c r="H12" t="s">
        <v>23</v>
      </c>
      <c r="I12">
        <v>5.7471259999999997</v>
      </c>
      <c r="J12">
        <v>0</v>
      </c>
      <c r="K12">
        <v>0</v>
      </c>
      <c r="L12">
        <v>0</v>
      </c>
      <c r="M12">
        <v>98.850570000000005</v>
      </c>
    </row>
    <row r="14" spans="1:16" ht="18.75" x14ac:dyDescent="0.25">
      <c r="G14" s="37" t="s">
        <v>24</v>
      </c>
      <c r="H14" t="s">
        <v>23</v>
      </c>
      <c r="I14">
        <v>344.82760000000002</v>
      </c>
      <c r="J14" t="s">
        <v>25</v>
      </c>
    </row>
    <row r="16" spans="1:16" x14ac:dyDescent="0.25">
      <c r="G16" t="s">
        <v>3</v>
      </c>
      <c r="H16">
        <v>5.7471259999999997</v>
      </c>
      <c r="I16" t="s">
        <v>26</v>
      </c>
    </row>
    <row r="17" spans="7:12" x14ac:dyDescent="0.25">
      <c r="G17" t="s">
        <v>4</v>
      </c>
      <c r="H17">
        <v>0</v>
      </c>
      <c r="I17" t="s">
        <v>26</v>
      </c>
    </row>
    <row r="18" spans="7:12" x14ac:dyDescent="0.25">
      <c r="G18" s="38" t="s">
        <v>5</v>
      </c>
      <c r="H18">
        <v>0</v>
      </c>
      <c r="I18" t="s">
        <v>26</v>
      </c>
    </row>
    <row r="20" spans="7:12" x14ac:dyDescent="0.25">
      <c r="G20" t="s">
        <v>28</v>
      </c>
      <c r="K20">
        <v>98.850570000000005</v>
      </c>
      <c r="L20" t="s">
        <v>27</v>
      </c>
    </row>
  </sheetData>
  <mergeCells count="31">
    <mergeCell ref="P8:P9"/>
    <mergeCell ref="N7:O7"/>
    <mergeCell ref="N10:O10"/>
    <mergeCell ref="N8:O9"/>
    <mergeCell ref="N6:O6"/>
    <mergeCell ref="N4:O5"/>
    <mergeCell ref="G7:G9"/>
    <mergeCell ref="H8:H9"/>
    <mergeCell ref="I8:I9"/>
    <mergeCell ref="J8:J9"/>
    <mergeCell ref="K8:K9"/>
    <mergeCell ref="L8:L9"/>
    <mergeCell ref="M8:M9"/>
    <mergeCell ref="I1:I2"/>
    <mergeCell ref="J1:O1"/>
    <mergeCell ref="P1:P2"/>
    <mergeCell ref="G3:G5"/>
    <mergeCell ref="H4:H5"/>
    <mergeCell ref="I4:I5"/>
    <mergeCell ref="J4:J5"/>
    <mergeCell ref="K4:K5"/>
    <mergeCell ref="L4:L5"/>
    <mergeCell ref="M4:M5"/>
    <mergeCell ref="P4:P5"/>
    <mergeCell ref="N2:O2"/>
    <mergeCell ref="N3:O3"/>
    <mergeCell ref="C1:E1"/>
    <mergeCell ref="A1:A2"/>
    <mergeCell ref="B1:B2"/>
    <mergeCell ref="G1:G2"/>
    <mergeCell ref="H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Симпликс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2026-01-29T10:25:43Z</dcterms:modified>
</cp:coreProperties>
</file>