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П40 Мат\"/>
    </mc:Choice>
  </mc:AlternateContent>
  <xr:revisionPtr revIDLastSave="0" documentId="13_ncr:1_{F500DB16-1DAB-4B08-AB25-A4E2893118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имплекс" sheetId="1" r:id="rId1"/>
    <sheet name="поиск решения" sheetId="2" r:id="rId2"/>
  </sheets>
  <definedNames>
    <definedName name="solver_adj" localSheetId="1" hidden="1">'поиск решения'!$N$4:$R$4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'поиск решения'!$J$3</definedName>
    <definedName name="solver_lhs2" localSheetId="1" hidden="1">'поиск решения'!$J$4</definedName>
    <definedName name="solver_lhs3" localSheetId="1" hidden="1">'поиск решения'!$J$5</definedName>
    <definedName name="solver_lhs4" localSheetId="1" hidden="1">'поиск решения'!$J$6</definedName>
    <definedName name="solver_lhs5" localSheetId="1" hidden="1">'поиск решения'!$J$7</definedName>
    <definedName name="solver_lhs6" localSheetId="1" hidden="1">'поиск решения'!$N$4:$R$4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'поиск решения'!$T$3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4</definedName>
    <definedName name="solver_rhs1" localSheetId="1" hidden="1">'поиск решения'!$L$3</definedName>
    <definedName name="solver_rhs2" localSheetId="1" hidden="1">'поиск решения'!$L$4</definedName>
    <definedName name="solver_rhs3" localSheetId="1" hidden="1">'поиск решения'!$L$5</definedName>
    <definedName name="solver_rhs4" localSheetId="1" hidden="1">'поиск решения'!$L$6</definedName>
    <definedName name="solver_rhs5" localSheetId="1" hidden="1">'поиск решения'!$L$7</definedName>
    <definedName name="solver_rhs6" localSheetId="1" hidden="1">"целое"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1" l="1"/>
  <c r="Q20" i="1"/>
  <c r="R20" i="1"/>
  <c r="S20" i="1"/>
  <c r="T20" i="1"/>
  <c r="U20" i="1"/>
  <c r="V20" i="1"/>
  <c r="W20" i="1"/>
  <c r="X20" i="1"/>
  <c r="Y20" i="1"/>
  <c r="O20" i="1"/>
  <c r="P19" i="1"/>
  <c r="Q19" i="1"/>
  <c r="R19" i="1"/>
  <c r="S19" i="1"/>
  <c r="T19" i="1"/>
  <c r="U19" i="1"/>
  <c r="V19" i="1"/>
  <c r="W19" i="1"/>
  <c r="X19" i="1"/>
  <c r="Y19" i="1"/>
  <c r="O19" i="1"/>
  <c r="P18" i="1"/>
  <c r="Q18" i="1"/>
  <c r="R18" i="1"/>
  <c r="S18" i="1"/>
  <c r="T18" i="1"/>
  <c r="U18" i="1"/>
  <c r="V18" i="1"/>
  <c r="W18" i="1"/>
  <c r="X18" i="1"/>
  <c r="Y18" i="1"/>
  <c r="O18" i="1"/>
  <c r="Y17" i="1"/>
  <c r="Q17" i="1"/>
  <c r="R17" i="1"/>
  <c r="S17" i="1"/>
  <c r="T17" i="1"/>
  <c r="U17" i="1"/>
  <c r="V17" i="1"/>
  <c r="W17" i="1"/>
  <c r="X17" i="1"/>
  <c r="P17" i="1"/>
  <c r="O17" i="1"/>
  <c r="P15" i="1"/>
  <c r="Q15" i="1"/>
  <c r="R15" i="1"/>
  <c r="S15" i="1"/>
  <c r="T15" i="1"/>
  <c r="U15" i="1"/>
  <c r="V15" i="1"/>
  <c r="W15" i="1"/>
  <c r="X15" i="1"/>
  <c r="Y15" i="1"/>
  <c r="O15" i="1"/>
  <c r="Q16" i="1"/>
  <c r="R16" i="1"/>
  <c r="S16" i="1"/>
  <c r="T16" i="1"/>
  <c r="U16" i="1"/>
  <c r="V16" i="1"/>
  <c r="W16" i="1"/>
  <c r="X16" i="1"/>
  <c r="Y16" i="1"/>
  <c r="P16" i="1"/>
  <c r="Z10" i="1"/>
  <c r="Z11" i="1"/>
  <c r="Z12" i="1"/>
  <c r="Z13" i="1"/>
  <c r="Z9" i="1"/>
  <c r="P14" i="1"/>
  <c r="Q14" i="1"/>
  <c r="R14" i="1"/>
  <c r="S14" i="1"/>
  <c r="T14" i="1"/>
  <c r="U14" i="1"/>
  <c r="V14" i="1"/>
  <c r="W14" i="1"/>
  <c r="X14" i="1"/>
  <c r="Y14" i="1"/>
  <c r="O14" i="1"/>
  <c r="P13" i="1"/>
  <c r="Q13" i="1"/>
  <c r="R13" i="1"/>
  <c r="S13" i="1"/>
  <c r="T13" i="1"/>
  <c r="U13" i="1"/>
  <c r="V13" i="1"/>
  <c r="W13" i="1"/>
  <c r="X13" i="1"/>
  <c r="Y13" i="1"/>
  <c r="O13" i="1"/>
  <c r="P12" i="1"/>
  <c r="Q12" i="1"/>
  <c r="R12" i="1"/>
  <c r="S12" i="1"/>
  <c r="T12" i="1"/>
  <c r="U12" i="1"/>
  <c r="V12" i="1"/>
  <c r="W12" i="1"/>
  <c r="X12" i="1"/>
  <c r="Y12" i="1"/>
  <c r="O12" i="1"/>
  <c r="P11" i="1"/>
  <c r="Q11" i="1"/>
  <c r="R11" i="1"/>
  <c r="S11" i="1"/>
  <c r="T11" i="1"/>
  <c r="U11" i="1"/>
  <c r="V11" i="1"/>
  <c r="W11" i="1"/>
  <c r="X11" i="1"/>
  <c r="Y11" i="1"/>
  <c r="O11" i="1"/>
  <c r="P10" i="1"/>
  <c r="Q10" i="1"/>
  <c r="R10" i="1"/>
  <c r="S10" i="1"/>
  <c r="T10" i="1"/>
  <c r="U10" i="1"/>
  <c r="V10" i="1"/>
  <c r="W10" i="1"/>
  <c r="X10" i="1"/>
  <c r="Y10" i="1"/>
  <c r="O10" i="1"/>
  <c r="Q9" i="1"/>
  <c r="R9" i="1"/>
  <c r="S9" i="1"/>
  <c r="T9" i="1"/>
  <c r="U9" i="1"/>
  <c r="V9" i="1"/>
  <c r="W9" i="1"/>
  <c r="X9" i="1"/>
  <c r="Y9" i="1"/>
  <c r="P9" i="1"/>
  <c r="Z4" i="1"/>
  <c r="Z5" i="1"/>
  <c r="Z6" i="1"/>
  <c r="Z7" i="1"/>
  <c r="Z3" i="1"/>
  <c r="T3" i="2"/>
  <c r="J4" i="2"/>
  <c r="J5" i="2"/>
  <c r="J6" i="2"/>
  <c r="J7" i="2"/>
  <c r="J3" i="2"/>
</calcChain>
</file>

<file path=xl/sharedStrings.xml><?xml version="1.0" encoding="utf-8"?>
<sst xmlns="http://schemas.openxmlformats.org/spreadsheetml/2006/main" count="99" uniqueCount="45">
  <si>
    <t>Ресурсы</t>
  </si>
  <si>
    <t>Плановый фонд ресурсов</t>
  </si>
  <si>
    <t>Нормативные затраты ресурсов, кг на 100 блюд</t>
  </si>
  <si>
    <t>Мясо</t>
  </si>
  <si>
    <t>Рыба, т</t>
  </si>
  <si>
    <t>Овощи, т</t>
  </si>
  <si>
    <t>Мука, крупа, макаронные изделия, т</t>
  </si>
  <si>
    <t>Молоко, л</t>
  </si>
  <si>
    <t>Доход, руб</t>
  </si>
  <si>
    <t>1-е блюда</t>
  </si>
  <si>
    <t>2-е мясные</t>
  </si>
  <si>
    <t>2-е рыбные</t>
  </si>
  <si>
    <t>2-е молочные</t>
  </si>
  <si>
    <t>2-е прочие</t>
  </si>
  <si>
    <t>-</t>
  </si>
  <si>
    <t>Определить</t>
  </si>
  <si>
    <t>Ограничения</t>
  </si>
  <si>
    <t>&lt;=</t>
  </si>
  <si>
    <t>Переменные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</si>
  <si>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</si>
  <si>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</si>
  <si>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</si>
  <si>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</si>
  <si>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</si>
  <si>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t>Целевая функция</t>
  </si>
  <si>
    <t>План</t>
  </si>
  <si>
    <t>Базисные переменные</t>
  </si>
  <si>
    <t>Значения базисных переменных</t>
  </si>
  <si>
    <t>Значения коэффицентов, aij</t>
  </si>
  <si>
    <r>
      <rPr>
        <sz val="11"/>
        <rFont val="Calibri"/>
        <family val="2"/>
      </rPr>
      <t>Θ</t>
    </r>
    <r>
      <rPr>
        <sz val="11"/>
        <rFont val="Calibri"/>
        <family val="2"/>
        <scheme val="minor"/>
      </rPr>
      <t>,min</t>
    </r>
  </si>
  <si>
    <r>
      <t>x</t>
    </r>
    <r>
      <rPr>
        <vertAlign val="subscript"/>
        <sz val="1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</si>
  <si>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</si>
  <si>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</si>
  <si>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</si>
  <si>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rFont val="Calibri"/>
        <family val="2"/>
        <charset val="204"/>
        <scheme val="minor"/>
      </rPr>
      <t>5</t>
    </r>
  </si>
  <si>
    <r>
      <t>x</t>
    </r>
    <r>
      <rPr>
        <vertAlign val="subscript"/>
        <sz val="11"/>
        <rFont val="Calibri"/>
        <family val="2"/>
        <charset val="204"/>
        <scheme val="minor"/>
      </rPr>
      <t>6</t>
    </r>
  </si>
  <si>
    <t>I</t>
  </si>
  <si>
    <t>Индексная тстрока</t>
  </si>
  <si>
    <r>
      <t>x</t>
    </r>
    <r>
      <rPr>
        <vertAlign val="subscript"/>
        <sz val="11"/>
        <rFont val="Calibri"/>
        <family val="2"/>
        <charset val="204"/>
        <scheme val="minor"/>
      </rPr>
      <t>7</t>
    </r>
  </si>
  <si>
    <r>
      <t>x</t>
    </r>
    <r>
      <rPr>
        <vertAlign val="subscript"/>
        <sz val="11"/>
        <rFont val="Calibri"/>
        <family val="2"/>
        <charset val="204"/>
        <scheme val="minor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</si>
  <si>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rFont val="Calibri"/>
        <family val="2"/>
        <charset val="204"/>
        <scheme val="minor"/>
      </rPr>
      <t>9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</si>
  <si>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rFont val="Calibri"/>
        <family val="2"/>
        <charset val="204"/>
        <scheme val="minor"/>
      </rPr>
      <t>10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</si>
  <si>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rFont val="Calibri"/>
        <family val="2"/>
        <charset val="204"/>
        <scheme val="minor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</si>
  <si>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t>II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</si>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</sst>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vertAlign val="subscript"/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4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9" xfId="0" applyFont="1" applyBorder="1"/>
    <xf numFmtId="0" fontId="4" fillId="0" borderId="9" xfId="0" applyFont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0" xfId="0" applyBorder="1"/>
    <xf numFmtId="0" fontId="4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textRotation="90" wrapText="1"/>
    </xf>
    <xf numFmtId="0" fontId="4" fillId="3" borderId="3" xfId="0" applyFont="1" applyFill="1" applyBorder="1" applyAlignment="1">
      <alignment horizontal="center" textRotation="90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9</xdr:row>
      <xdr:rowOff>19050</xdr:rowOff>
    </xdr:from>
    <xdr:ext cx="1787557" cy="1994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47DF4AF-8E35-4B38-B732-75AC7007A825}"/>
                </a:ext>
              </a:extLst>
            </xdr:cNvPr>
            <xdr:cNvSpPr txBox="1"/>
          </xdr:nvSpPr>
          <xdr:spPr>
            <a:xfrm>
              <a:off x="762000" y="2314575"/>
              <a:ext cx="1787557" cy="199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bar>
                    <m:r>
                      <a:rPr lang="en-US" sz="1100" b="0" i="1">
                        <a:latin typeface="Cambria Math" panose="02040503050406030204" pitchFamily="18" charset="0"/>
                      </a:rPr>
                      <m:t>=(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47DF4AF-8E35-4B38-B732-75AC7007A825}"/>
                </a:ext>
              </a:extLst>
            </xdr:cNvPr>
            <xdr:cNvSpPr txBox="1"/>
          </xdr:nvSpPr>
          <xdr:spPr>
            <a:xfrm>
              <a:off x="762000" y="2314575"/>
              <a:ext cx="1787557" cy="199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¯𝑋=(𝑥_1</a:t>
              </a:r>
              <a:r>
                <a:rPr lang="ru-RU" sz="1100" b="0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28575</xdr:colOff>
      <xdr:row>11</xdr:row>
      <xdr:rowOff>66675</xdr:rowOff>
    </xdr:from>
    <xdr:to>
      <xdr:col>4</xdr:col>
      <xdr:colOff>171450</xdr:colOff>
      <xdr:row>17</xdr:row>
      <xdr:rowOff>180975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80182F4-71BC-0AF2-CE06-E1E0F68F4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743200"/>
          <a:ext cx="33528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133350</xdr:colOff>
      <xdr:row>18</xdr:row>
      <xdr:rowOff>171450</xdr:rowOff>
    </xdr:from>
    <xdr:to>
      <xdr:col>5</xdr:col>
      <xdr:colOff>285750</xdr:colOff>
      <xdr:row>20</xdr:row>
      <xdr:rowOff>47625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EF6018D-58A1-3714-B05E-3272DA65D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4181475"/>
          <a:ext cx="414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4</xdr:col>
      <xdr:colOff>142875</xdr:colOff>
      <xdr:row>28</xdr:row>
      <xdr:rowOff>123825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DA81D9B-2E25-C538-A900-B1A1DF9D1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2025"/>
          <a:ext cx="335280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114300</xdr:colOff>
      <xdr:row>10</xdr:row>
      <xdr:rowOff>104775</xdr:rowOff>
    </xdr:from>
    <xdr:to>
      <xdr:col>10</xdr:col>
      <xdr:colOff>133350</xdr:colOff>
      <xdr:row>15</xdr:row>
      <xdr:rowOff>161925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2C3E23B-CF0C-E3B5-43EB-0B939578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75" y="3248025"/>
          <a:ext cx="349567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18</xdr:row>
      <xdr:rowOff>76200</xdr:rowOff>
    </xdr:from>
    <xdr:to>
      <xdr:col>10</xdr:col>
      <xdr:colOff>400050</xdr:colOff>
      <xdr:row>25</xdr:row>
      <xdr:rowOff>28575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9D83D2A-17B3-FC0A-608B-899AF1C30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4086225"/>
          <a:ext cx="3352800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333375</xdr:colOff>
      <xdr:row>26</xdr:row>
      <xdr:rowOff>76200</xdr:rowOff>
    </xdr:from>
    <xdr:to>
      <xdr:col>11</xdr:col>
      <xdr:colOff>342900</xdr:colOff>
      <xdr:row>27</xdr:row>
      <xdr:rowOff>142875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C1F0562-9165-3DB4-8207-139296195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5610225"/>
          <a:ext cx="40957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38100</xdr:colOff>
      <xdr:row>7</xdr:row>
      <xdr:rowOff>66675</xdr:rowOff>
    </xdr:from>
    <xdr:to>
      <xdr:col>13</xdr:col>
      <xdr:colOff>485775</xdr:colOff>
      <xdr:row>7</xdr:row>
      <xdr:rowOff>314325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C8DF2BF-84D4-46DE-883A-89C29A82D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5" y="26479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142875</xdr:colOff>
      <xdr:row>13</xdr:row>
      <xdr:rowOff>57150</xdr:rowOff>
    </xdr:from>
    <xdr:to>
      <xdr:col>13</xdr:col>
      <xdr:colOff>714375</xdr:colOff>
      <xdr:row>13</xdr:row>
      <xdr:rowOff>285750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AC9656C0-8D54-AB27-FEAA-CD47B64CD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3962400"/>
          <a:ext cx="571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152400</xdr:colOff>
      <xdr:row>19</xdr:row>
      <xdr:rowOff>76200</xdr:rowOff>
    </xdr:from>
    <xdr:to>
      <xdr:col>13</xdr:col>
      <xdr:colOff>723900</xdr:colOff>
      <xdr:row>19</xdr:row>
      <xdr:rowOff>304800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1BA6D1F7-DB66-8794-B22A-6C72E29DD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0" y="5514975"/>
          <a:ext cx="571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11</xdr:row>
      <xdr:rowOff>19050</xdr:rowOff>
    </xdr:from>
    <xdr:ext cx="1787557" cy="1994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8B7C2C8-4056-42F7-A546-7260F75E37B5}"/>
                </a:ext>
              </a:extLst>
            </xdr:cNvPr>
            <xdr:cNvSpPr txBox="1"/>
          </xdr:nvSpPr>
          <xdr:spPr>
            <a:xfrm>
              <a:off x="762000" y="2314575"/>
              <a:ext cx="1787557" cy="199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bar>
                    <m:r>
                      <a:rPr lang="en-US" sz="1100" b="0" i="1">
                        <a:latin typeface="Cambria Math" panose="02040503050406030204" pitchFamily="18" charset="0"/>
                      </a:rPr>
                      <m:t>=(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8B7C2C8-4056-42F7-A546-7260F75E37B5}"/>
                </a:ext>
              </a:extLst>
            </xdr:cNvPr>
            <xdr:cNvSpPr txBox="1"/>
          </xdr:nvSpPr>
          <xdr:spPr>
            <a:xfrm>
              <a:off x="762000" y="2314575"/>
              <a:ext cx="1787557" cy="199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¯𝑋=(𝑥_1</a:t>
              </a:r>
              <a:r>
                <a:rPr lang="ru-RU" sz="1100" b="0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28575</xdr:colOff>
      <xdr:row>13</xdr:row>
      <xdr:rowOff>66675</xdr:rowOff>
    </xdr:from>
    <xdr:to>
      <xdr:col>4</xdr:col>
      <xdr:colOff>171450</xdr:colOff>
      <xdr:row>19</xdr:row>
      <xdr:rowOff>180975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1DDADF6-C4D9-4AE0-8E49-BB1C45D6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743200"/>
          <a:ext cx="33528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133350</xdr:colOff>
      <xdr:row>20</xdr:row>
      <xdr:rowOff>171450</xdr:rowOff>
    </xdr:from>
    <xdr:to>
      <xdr:col>5</xdr:col>
      <xdr:colOff>285750</xdr:colOff>
      <xdr:row>22</xdr:row>
      <xdr:rowOff>47625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B7D350E-47A9-4C77-8966-3E89B4987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4181475"/>
          <a:ext cx="414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zoomScaleNormal="100" workbookViewId="0">
      <selection activeCell="I2" sqref="I2:J4"/>
    </sheetView>
  </sheetViews>
  <sheetFormatPr defaultRowHeight="15" x14ac:dyDescent="0.25"/>
  <cols>
    <col min="1" max="1" width="14.85546875" customWidth="1"/>
    <col min="2" max="2" width="10.5703125" customWidth="1"/>
    <col min="3" max="3" width="10.28515625" customWidth="1"/>
    <col min="4" max="4" width="12.42578125" customWidth="1"/>
    <col min="5" max="5" width="11.7109375" customWidth="1"/>
    <col min="6" max="6" width="13" customWidth="1"/>
    <col min="7" max="7" width="11.7109375" customWidth="1"/>
    <col min="13" max="13" width="11.7109375" customWidth="1"/>
    <col min="14" max="14" width="11.42578125" customWidth="1"/>
  </cols>
  <sheetData>
    <row r="1" spans="1:26" x14ac:dyDescent="0.25">
      <c r="A1" s="29" t="s">
        <v>0</v>
      </c>
      <c r="B1" s="29" t="s">
        <v>1</v>
      </c>
      <c r="C1" s="29" t="s">
        <v>2</v>
      </c>
      <c r="D1" s="29"/>
      <c r="E1" s="29"/>
      <c r="F1" s="29"/>
      <c r="G1" s="29"/>
      <c r="M1" s="30" t="s">
        <v>25</v>
      </c>
      <c r="N1" s="32" t="s">
        <v>26</v>
      </c>
      <c r="O1" s="32" t="s">
        <v>27</v>
      </c>
      <c r="P1" s="34" t="s">
        <v>28</v>
      </c>
      <c r="Q1" s="35"/>
      <c r="R1" s="35"/>
      <c r="S1" s="35"/>
      <c r="T1" s="35"/>
      <c r="U1" s="35"/>
      <c r="V1" s="35"/>
      <c r="W1" s="35"/>
      <c r="X1" s="35"/>
      <c r="Y1" s="36"/>
      <c r="Z1" s="30" t="s">
        <v>29</v>
      </c>
    </row>
    <row r="2" spans="1:26" ht="54" customHeight="1" x14ac:dyDescent="0.25">
      <c r="A2" s="29"/>
      <c r="B2" s="29"/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M2" s="31"/>
      <c r="N2" s="33"/>
      <c r="O2" s="33"/>
      <c r="P2" s="7" t="s">
        <v>30</v>
      </c>
      <c r="Q2" s="12" t="s">
        <v>31</v>
      </c>
      <c r="R2" s="23" t="s">
        <v>32</v>
      </c>
      <c r="S2" s="7" t="s">
        <v>33</v>
      </c>
      <c r="T2" s="7" t="s">
        <v>34</v>
      </c>
      <c r="U2" s="7" t="s">
        <v>35</v>
      </c>
      <c r="V2" s="7" t="s">
        <v>42</v>
      </c>
      <c r="W2" s="7" t="s">
        <v>39</v>
      </c>
      <c r="X2" s="7" t="s">
        <v>40</v>
      </c>
      <c r="Y2" s="7" t="s">
        <v>41</v>
      </c>
      <c r="Z2" s="31"/>
    </row>
    <row r="3" spans="1:26" ht="18" x14ac:dyDescent="0.25">
      <c r="A3" s="1" t="s">
        <v>3</v>
      </c>
      <c r="B3" s="2">
        <v>40</v>
      </c>
      <c r="C3" s="2">
        <v>4</v>
      </c>
      <c r="D3" s="2">
        <v>8</v>
      </c>
      <c r="E3" s="2" t="s">
        <v>14</v>
      </c>
      <c r="F3" s="2" t="s">
        <v>14</v>
      </c>
      <c r="G3" s="2">
        <v>3.8</v>
      </c>
      <c r="M3" s="28" t="s">
        <v>36</v>
      </c>
      <c r="N3" s="10" t="s">
        <v>35</v>
      </c>
      <c r="O3" s="13">
        <v>40</v>
      </c>
      <c r="P3" s="10">
        <v>4</v>
      </c>
      <c r="Q3" s="11">
        <v>8</v>
      </c>
      <c r="R3" s="10">
        <v>0</v>
      </c>
      <c r="S3" s="10">
        <v>0</v>
      </c>
      <c r="T3" s="10">
        <v>3.8</v>
      </c>
      <c r="U3" s="10">
        <v>1</v>
      </c>
      <c r="V3" s="13">
        <v>0</v>
      </c>
      <c r="W3" s="13">
        <v>0</v>
      </c>
      <c r="X3" s="13">
        <v>0</v>
      </c>
      <c r="Y3" s="13">
        <v>0</v>
      </c>
      <c r="Z3" s="10">
        <f>O3/Q3</f>
        <v>5</v>
      </c>
    </row>
    <row r="4" spans="1:26" ht="18" x14ac:dyDescent="0.25">
      <c r="A4" s="1" t="s">
        <v>4</v>
      </c>
      <c r="B4" s="2">
        <v>25</v>
      </c>
      <c r="C4" s="2">
        <v>2.5</v>
      </c>
      <c r="D4" s="2" t="s">
        <v>14</v>
      </c>
      <c r="E4" s="2">
        <v>10</v>
      </c>
      <c r="F4" s="2" t="s">
        <v>14</v>
      </c>
      <c r="G4" s="2" t="s">
        <v>14</v>
      </c>
      <c r="M4" s="28"/>
      <c r="N4" s="9" t="s">
        <v>38</v>
      </c>
      <c r="O4" s="2">
        <v>25</v>
      </c>
      <c r="P4" s="9">
        <v>2.5</v>
      </c>
      <c r="Q4" s="14">
        <v>0</v>
      </c>
      <c r="R4" s="9">
        <v>10</v>
      </c>
      <c r="S4" s="9">
        <v>0</v>
      </c>
      <c r="T4" s="9">
        <v>0</v>
      </c>
      <c r="U4" s="9">
        <v>0</v>
      </c>
      <c r="V4" s="2">
        <v>1</v>
      </c>
      <c r="W4" s="2">
        <v>0</v>
      </c>
      <c r="X4" s="2">
        <v>0</v>
      </c>
      <c r="Y4" s="2">
        <v>0</v>
      </c>
      <c r="Z4" s="9" t="e">
        <f t="shared" ref="Z4:Z7" si="0">O4/Q4</f>
        <v>#DIV/0!</v>
      </c>
    </row>
    <row r="5" spans="1:26" ht="18" x14ac:dyDescent="0.25">
      <c r="A5" s="1" t="s">
        <v>5</v>
      </c>
      <c r="B5" s="2">
        <v>27</v>
      </c>
      <c r="C5" s="2">
        <v>3.2</v>
      </c>
      <c r="D5" s="2">
        <v>2</v>
      </c>
      <c r="E5" s="2">
        <v>2</v>
      </c>
      <c r="F5" s="2" t="s">
        <v>14</v>
      </c>
      <c r="G5" s="2">
        <v>4.5999999999999996</v>
      </c>
      <c r="M5" s="28"/>
      <c r="N5" s="9" t="s">
        <v>39</v>
      </c>
      <c r="O5" s="2">
        <v>27</v>
      </c>
      <c r="P5" s="9">
        <v>3.2</v>
      </c>
      <c r="Q5" s="14">
        <v>2</v>
      </c>
      <c r="R5" s="9">
        <v>2</v>
      </c>
      <c r="S5" s="9">
        <v>0</v>
      </c>
      <c r="T5" s="9">
        <v>4.5999999999999996</v>
      </c>
      <c r="U5" s="9">
        <v>0</v>
      </c>
      <c r="V5" s="2">
        <v>0</v>
      </c>
      <c r="W5" s="2">
        <v>1</v>
      </c>
      <c r="X5" s="2">
        <v>0</v>
      </c>
      <c r="Y5" s="2">
        <v>0</v>
      </c>
      <c r="Z5" s="9">
        <f t="shared" si="0"/>
        <v>13.5</v>
      </c>
    </row>
    <row r="6" spans="1:26" ht="45.75" customHeight="1" x14ac:dyDescent="0.25">
      <c r="A6" s="1" t="s">
        <v>6</v>
      </c>
      <c r="B6" s="2">
        <v>20</v>
      </c>
      <c r="C6" s="2">
        <v>2.1</v>
      </c>
      <c r="D6" s="2">
        <v>2.6</v>
      </c>
      <c r="E6" s="2">
        <v>2.2999999999999998</v>
      </c>
      <c r="F6" s="2" t="s">
        <v>14</v>
      </c>
      <c r="G6" s="2">
        <v>2.8</v>
      </c>
      <c r="M6" s="28"/>
      <c r="N6" s="9" t="s">
        <v>40</v>
      </c>
      <c r="O6" s="2">
        <v>20</v>
      </c>
      <c r="P6" s="2">
        <v>2.1</v>
      </c>
      <c r="Q6" s="15">
        <v>2.6</v>
      </c>
      <c r="R6" s="2">
        <v>2.2999999999999998</v>
      </c>
      <c r="S6" s="2">
        <v>0</v>
      </c>
      <c r="T6" s="2">
        <v>2.8</v>
      </c>
      <c r="U6" s="2">
        <v>0</v>
      </c>
      <c r="V6" s="2">
        <v>0</v>
      </c>
      <c r="W6" s="2">
        <v>0</v>
      </c>
      <c r="X6" s="2">
        <v>1</v>
      </c>
      <c r="Y6" s="2">
        <v>0</v>
      </c>
      <c r="Z6" s="9">
        <f t="shared" si="0"/>
        <v>7.6923076923076916</v>
      </c>
    </row>
    <row r="7" spans="1:26" ht="18" x14ac:dyDescent="0.25">
      <c r="A7" s="1" t="s">
        <v>7</v>
      </c>
      <c r="B7" s="2">
        <v>50000</v>
      </c>
      <c r="C7" s="2">
        <v>6.5</v>
      </c>
      <c r="D7" s="2" t="s">
        <v>14</v>
      </c>
      <c r="E7" s="2" t="s">
        <v>14</v>
      </c>
      <c r="F7" s="2">
        <v>21</v>
      </c>
      <c r="G7" s="2" t="s">
        <v>14</v>
      </c>
      <c r="M7" s="28"/>
      <c r="N7" s="9" t="s">
        <v>41</v>
      </c>
      <c r="O7" s="2">
        <v>50000</v>
      </c>
      <c r="P7" s="2">
        <v>6.5</v>
      </c>
      <c r="Q7" s="15">
        <v>0</v>
      </c>
      <c r="R7" s="2">
        <v>0</v>
      </c>
      <c r="S7" s="2">
        <v>21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9" t="e">
        <f t="shared" si="0"/>
        <v>#DIV/0!</v>
      </c>
    </row>
    <row r="8" spans="1:26" ht="30.75" thickBot="1" x14ac:dyDescent="0.3">
      <c r="A8" s="1" t="s">
        <v>8</v>
      </c>
      <c r="B8" s="2"/>
      <c r="C8" s="2">
        <v>1.3</v>
      </c>
      <c r="D8" s="2">
        <v>2</v>
      </c>
      <c r="E8" s="2">
        <v>1.5</v>
      </c>
      <c r="F8" s="2">
        <v>0.3</v>
      </c>
      <c r="G8" s="2">
        <v>1.7</v>
      </c>
      <c r="M8" s="8" t="s">
        <v>37</v>
      </c>
      <c r="N8" s="18"/>
      <c r="O8" s="19">
        <v>0</v>
      </c>
      <c r="P8" s="19">
        <v>-1.3</v>
      </c>
      <c r="Q8" s="20">
        <v>-2</v>
      </c>
      <c r="R8" s="19">
        <v>-1.5</v>
      </c>
      <c r="S8" s="19">
        <v>-0.3</v>
      </c>
      <c r="T8" s="19">
        <v>-1.7</v>
      </c>
      <c r="U8" s="19">
        <v>0</v>
      </c>
      <c r="V8" s="21">
        <v>0</v>
      </c>
      <c r="W8" s="21">
        <v>0</v>
      </c>
      <c r="X8" s="21">
        <v>0</v>
      </c>
      <c r="Y8" s="21">
        <v>0</v>
      </c>
      <c r="Z8" s="19"/>
    </row>
    <row r="9" spans="1:26" ht="18" x14ac:dyDescent="0.25">
      <c r="M9" s="27" t="s">
        <v>43</v>
      </c>
      <c r="N9" s="16" t="s">
        <v>31</v>
      </c>
      <c r="O9" s="17">
        <v>5</v>
      </c>
      <c r="P9" s="16">
        <f>P3/$Q$3</f>
        <v>0.5</v>
      </c>
      <c r="Q9" s="16">
        <f t="shared" ref="Q9:Y9" si="1">Q3/$Q$3</f>
        <v>1</v>
      </c>
      <c r="R9" s="22">
        <f t="shared" si="1"/>
        <v>0</v>
      </c>
      <c r="S9" s="16">
        <f t="shared" si="1"/>
        <v>0</v>
      </c>
      <c r="T9" s="16">
        <f t="shared" si="1"/>
        <v>0.47499999999999998</v>
      </c>
      <c r="U9" s="16">
        <f t="shared" si="1"/>
        <v>0.125</v>
      </c>
      <c r="V9" s="16">
        <f t="shared" si="1"/>
        <v>0</v>
      </c>
      <c r="W9" s="16">
        <f t="shared" si="1"/>
        <v>0</v>
      </c>
      <c r="X9" s="16">
        <f t="shared" si="1"/>
        <v>0</v>
      </c>
      <c r="Y9" s="16">
        <f t="shared" si="1"/>
        <v>0</v>
      </c>
      <c r="Z9" s="16" t="e">
        <f>O9/R9</f>
        <v>#DIV/0!</v>
      </c>
    </row>
    <row r="10" spans="1:26" ht="18" x14ac:dyDescent="0.25">
      <c r="A10" s="3" t="s">
        <v>15</v>
      </c>
      <c r="M10" s="28"/>
      <c r="N10" s="9" t="s">
        <v>38</v>
      </c>
      <c r="O10" s="13">
        <f>O4-(O3*$Q$4)/$Q$3</f>
        <v>25</v>
      </c>
      <c r="P10" s="13">
        <f t="shared" ref="P10:Y10" si="2">P4-(P3*$Q$4)/$Q$3</f>
        <v>2.5</v>
      </c>
      <c r="Q10" s="13">
        <f t="shared" si="2"/>
        <v>0</v>
      </c>
      <c r="R10" s="25">
        <f t="shared" si="2"/>
        <v>10</v>
      </c>
      <c r="S10" s="13">
        <f t="shared" si="2"/>
        <v>0</v>
      </c>
      <c r="T10" s="13">
        <f t="shared" si="2"/>
        <v>0</v>
      </c>
      <c r="U10" s="13">
        <f t="shared" si="2"/>
        <v>0</v>
      </c>
      <c r="V10" s="13">
        <f t="shared" si="2"/>
        <v>1</v>
      </c>
      <c r="W10" s="13">
        <f t="shared" si="2"/>
        <v>0</v>
      </c>
      <c r="X10" s="13">
        <f t="shared" si="2"/>
        <v>0</v>
      </c>
      <c r="Y10" s="13">
        <f t="shared" si="2"/>
        <v>0</v>
      </c>
      <c r="Z10" s="24">
        <f t="shared" ref="Z10:Z13" si="3">O10/R10</f>
        <v>2.5</v>
      </c>
    </row>
    <row r="11" spans="1:26" ht="18" x14ac:dyDescent="0.25">
      <c r="M11" s="28"/>
      <c r="N11" s="9" t="s">
        <v>39</v>
      </c>
      <c r="O11" s="2">
        <f>O5-(O3*$Q$5)/$Q$3</f>
        <v>17</v>
      </c>
      <c r="P11" s="2">
        <f t="shared" ref="P11:Y11" si="4">P5-(P3*$Q$5)/$Q$3</f>
        <v>2.2000000000000002</v>
      </c>
      <c r="Q11" s="2">
        <f t="shared" si="4"/>
        <v>0</v>
      </c>
      <c r="R11" s="15">
        <f t="shared" si="4"/>
        <v>2</v>
      </c>
      <c r="S11" s="2">
        <f t="shared" si="4"/>
        <v>0</v>
      </c>
      <c r="T11" s="2">
        <f t="shared" si="4"/>
        <v>3.6499999999999995</v>
      </c>
      <c r="U11" s="2">
        <f t="shared" si="4"/>
        <v>-0.25</v>
      </c>
      <c r="V11" s="2">
        <f t="shared" si="4"/>
        <v>0</v>
      </c>
      <c r="W11" s="2">
        <f t="shared" si="4"/>
        <v>1</v>
      </c>
      <c r="X11" s="2">
        <f t="shared" si="4"/>
        <v>0</v>
      </c>
      <c r="Y11" s="2">
        <f t="shared" si="4"/>
        <v>0</v>
      </c>
      <c r="Z11" s="16">
        <f t="shared" si="3"/>
        <v>8.5</v>
      </c>
    </row>
    <row r="12" spans="1:26" ht="18" x14ac:dyDescent="0.25">
      <c r="M12" s="28"/>
      <c r="N12" s="9" t="s">
        <v>40</v>
      </c>
      <c r="O12" s="2">
        <f>O6-(O3*$Q$6)/$Q$3</f>
        <v>7</v>
      </c>
      <c r="P12" s="2">
        <f t="shared" ref="P12:Y12" si="5">P6-(P3*$Q$6)/$Q$3</f>
        <v>0.8</v>
      </c>
      <c r="Q12" s="2">
        <f t="shared" si="5"/>
        <v>0</v>
      </c>
      <c r="R12" s="15">
        <f t="shared" si="5"/>
        <v>2.2999999999999998</v>
      </c>
      <c r="S12" s="2">
        <f t="shared" si="5"/>
        <v>0</v>
      </c>
      <c r="T12" s="2">
        <f t="shared" si="5"/>
        <v>1.5649999999999999</v>
      </c>
      <c r="U12" s="2">
        <f t="shared" si="5"/>
        <v>-0.32500000000000001</v>
      </c>
      <c r="V12" s="2">
        <f t="shared" si="5"/>
        <v>0</v>
      </c>
      <c r="W12" s="2">
        <f t="shared" si="5"/>
        <v>0</v>
      </c>
      <c r="X12" s="2">
        <f t="shared" si="5"/>
        <v>1</v>
      </c>
      <c r="Y12" s="2">
        <f t="shared" si="5"/>
        <v>0</v>
      </c>
      <c r="Z12" s="16">
        <f t="shared" si="3"/>
        <v>3.0434782608695654</v>
      </c>
    </row>
    <row r="13" spans="1:26" ht="18" x14ac:dyDescent="0.25">
      <c r="M13" s="28"/>
      <c r="N13" s="9" t="s">
        <v>41</v>
      </c>
      <c r="O13" s="2">
        <f>O7-(O3*$Q$7)/$Q$3</f>
        <v>50000</v>
      </c>
      <c r="P13" s="2">
        <f t="shared" ref="P13:Y13" si="6">P7-(P3*$Q$7)/$Q$3</f>
        <v>6.5</v>
      </c>
      <c r="Q13" s="2">
        <f t="shared" si="6"/>
        <v>0</v>
      </c>
      <c r="R13" s="15">
        <f t="shared" si="6"/>
        <v>0</v>
      </c>
      <c r="S13" s="2">
        <f t="shared" si="6"/>
        <v>21</v>
      </c>
      <c r="T13" s="2">
        <f t="shared" si="6"/>
        <v>0</v>
      </c>
      <c r="U13" s="2">
        <f t="shared" si="6"/>
        <v>0</v>
      </c>
      <c r="V13" s="2">
        <f t="shared" si="6"/>
        <v>0</v>
      </c>
      <c r="W13" s="2">
        <f t="shared" si="6"/>
        <v>0</v>
      </c>
      <c r="X13" s="2">
        <f t="shared" si="6"/>
        <v>0</v>
      </c>
      <c r="Y13" s="2">
        <f t="shared" si="6"/>
        <v>1</v>
      </c>
      <c r="Z13" s="16" t="e">
        <f t="shared" si="3"/>
        <v>#DIV/0!</v>
      </c>
    </row>
    <row r="14" spans="1:26" ht="30.75" thickBot="1" x14ac:dyDescent="0.3">
      <c r="M14" s="8" t="s">
        <v>37</v>
      </c>
      <c r="N14" s="18"/>
      <c r="O14" s="21">
        <f>O8-(O3*$Q$8)/$Q$3</f>
        <v>10</v>
      </c>
      <c r="P14" s="21">
        <f t="shared" ref="P14:Y14" si="7">P8-(P3*$Q$8)/$Q$3</f>
        <v>-0.30000000000000004</v>
      </c>
      <c r="Q14" s="21">
        <f t="shared" si="7"/>
        <v>0</v>
      </c>
      <c r="R14" s="20">
        <f t="shared" si="7"/>
        <v>-1.5</v>
      </c>
      <c r="S14" s="21">
        <f t="shared" si="7"/>
        <v>-0.3</v>
      </c>
      <c r="T14" s="21">
        <f t="shared" si="7"/>
        <v>-0.75</v>
      </c>
      <c r="U14" s="21">
        <f t="shared" si="7"/>
        <v>0.25</v>
      </c>
      <c r="V14" s="21">
        <f t="shared" si="7"/>
        <v>0</v>
      </c>
      <c r="W14" s="21">
        <f t="shared" si="7"/>
        <v>0</v>
      </c>
      <c r="X14" s="21">
        <f t="shared" si="7"/>
        <v>0</v>
      </c>
      <c r="Y14" s="21">
        <f t="shared" si="7"/>
        <v>0</v>
      </c>
      <c r="Z14" s="19"/>
    </row>
    <row r="15" spans="1:26" ht="18" x14ac:dyDescent="0.25">
      <c r="M15" s="27" t="s">
        <v>44</v>
      </c>
      <c r="N15" s="16" t="s">
        <v>31</v>
      </c>
      <c r="O15" s="17">
        <f>O9-(O10*$R$9)/$R$10</f>
        <v>5</v>
      </c>
      <c r="P15" s="17">
        <f t="shared" ref="P15:Y15" si="8">P9-(P10*$R$9)/$R$10</f>
        <v>0.5</v>
      </c>
      <c r="Q15" s="17">
        <f t="shared" si="8"/>
        <v>1</v>
      </c>
      <c r="R15" s="17">
        <f t="shared" si="8"/>
        <v>0</v>
      </c>
      <c r="S15" s="17">
        <f t="shared" si="8"/>
        <v>0</v>
      </c>
      <c r="T15" s="17">
        <f t="shared" si="8"/>
        <v>0.47499999999999998</v>
      </c>
      <c r="U15" s="17">
        <f t="shared" si="8"/>
        <v>0.125</v>
      </c>
      <c r="V15" s="17">
        <f t="shared" si="8"/>
        <v>0</v>
      </c>
      <c r="W15" s="17">
        <f t="shared" si="8"/>
        <v>0</v>
      </c>
      <c r="X15" s="17">
        <f t="shared" si="8"/>
        <v>0</v>
      </c>
      <c r="Y15" s="17">
        <f t="shared" si="8"/>
        <v>0</v>
      </c>
      <c r="Z15" s="16"/>
    </row>
    <row r="16" spans="1:26" ht="18" x14ac:dyDescent="0.25">
      <c r="M16" s="28"/>
      <c r="N16" s="9" t="s">
        <v>32</v>
      </c>
      <c r="O16" s="2">
        <v>2.5</v>
      </c>
      <c r="P16" s="2">
        <f>P10/$R$10</f>
        <v>0.25</v>
      </c>
      <c r="Q16" s="2">
        <f t="shared" ref="Q16:Y16" si="9">Q10/$R$10</f>
        <v>0</v>
      </c>
      <c r="R16" s="2">
        <f t="shared" si="9"/>
        <v>1</v>
      </c>
      <c r="S16" s="2">
        <f t="shared" si="9"/>
        <v>0</v>
      </c>
      <c r="T16" s="2">
        <f t="shared" si="9"/>
        <v>0</v>
      </c>
      <c r="U16" s="2">
        <f t="shared" si="9"/>
        <v>0</v>
      </c>
      <c r="V16" s="2">
        <f t="shared" si="9"/>
        <v>0.1</v>
      </c>
      <c r="W16" s="2">
        <f t="shared" si="9"/>
        <v>0</v>
      </c>
      <c r="X16" s="2">
        <f t="shared" si="9"/>
        <v>0</v>
      </c>
      <c r="Y16" s="2">
        <f t="shared" si="9"/>
        <v>0</v>
      </c>
      <c r="Z16" s="16"/>
    </row>
    <row r="17" spans="13:26" ht="18" x14ac:dyDescent="0.25">
      <c r="M17" s="28"/>
      <c r="N17" s="9" t="s">
        <v>39</v>
      </c>
      <c r="O17" s="2">
        <f>O11-(O10*$R$11)/$R$10</f>
        <v>12</v>
      </c>
      <c r="P17" s="2">
        <f>P11-(P10*$R$11)/$R$10</f>
        <v>1.7000000000000002</v>
      </c>
      <c r="Q17" s="2">
        <f t="shared" ref="Q17:X17" si="10">Q11-(Q10*$R$11)/$R$10</f>
        <v>0</v>
      </c>
      <c r="R17" s="2">
        <f t="shared" si="10"/>
        <v>0</v>
      </c>
      <c r="S17" s="2">
        <f t="shared" si="10"/>
        <v>0</v>
      </c>
      <c r="T17" s="2">
        <f t="shared" si="10"/>
        <v>3.6499999999999995</v>
      </c>
      <c r="U17" s="2">
        <f t="shared" si="10"/>
        <v>-0.25</v>
      </c>
      <c r="V17" s="2">
        <f t="shared" si="10"/>
        <v>-0.2</v>
      </c>
      <c r="W17" s="2">
        <f t="shared" si="10"/>
        <v>1</v>
      </c>
      <c r="X17" s="2">
        <f t="shared" si="10"/>
        <v>0</v>
      </c>
      <c r="Y17" s="2">
        <f>Y11-(Y10*$R$11)/$R$10</f>
        <v>0</v>
      </c>
      <c r="Z17" s="16"/>
    </row>
    <row r="18" spans="13:26" ht="18" x14ac:dyDescent="0.25">
      <c r="M18" s="28"/>
      <c r="N18" s="9" t="s">
        <v>40</v>
      </c>
      <c r="O18" s="2">
        <f>O12-(O10*$R$12)/$R$10</f>
        <v>1.2500000000000009</v>
      </c>
      <c r="P18" s="2">
        <f t="shared" ref="P18:Y18" si="11">P12-(P10*$R$12)/$R$10</f>
        <v>0.22500000000000009</v>
      </c>
      <c r="Q18" s="2">
        <f t="shared" si="11"/>
        <v>0</v>
      </c>
      <c r="R18" s="2">
        <f t="shared" si="11"/>
        <v>0</v>
      </c>
      <c r="S18" s="2">
        <f t="shared" si="11"/>
        <v>0</v>
      </c>
      <c r="T18" s="2">
        <f t="shared" si="11"/>
        <v>1.5649999999999999</v>
      </c>
      <c r="U18" s="2">
        <f t="shared" si="11"/>
        <v>-0.32500000000000001</v>
      </c>
      <c r="V18" s="2">
        <f t="shared" si="11"/>
        <v>-0.22999999999999998</v>
      </c>
      <c r="W18" s="2">
        <f t="shared" si="11"/>
        <v>0</v>
      </c>
      <c r="X18" s="2">
        <f t="shared" si="11"/>
        <v>1</v>
      </c>
      <c r="Y18" s="2">
        <f t="shared" si="11"/>
        <v>0</v>
      </c>
      <c r="Z18" s="16"/>
    </row>
    <row r="19" spans="13:26" ht="18" x14ac:dyDescent="0.25">
      <c r="M19" s="28"/>
      <c r="N19" s="9" t="s">
        <v>41</v>
      </c>
      <c r="O19" s="2">
        <f>O13-($O$10*$R$13)/$R$10</f>
        <v>50000</v>
      </c>
      <c r="P19" s="2">
        <f t="shared" ref="P19:Y19" si="12">P13-($O$10*$R$13)/$R$10</f>
        <v>6.5</v>
      </c>
      <c r="Q19" s="2">
        <f t="shared" si="12"/>
        <v>0</v>
      </c>
      <c r="R19" s="2">
        <f t="shared" si="12"/>
        <v>0</v>
      </c>
      <c r="S19" s="2">
        <f t="shared" si="12"/>
        <v>21</v>
      </c>
      <c r="T19" s="2">
        <f t="shared" si="12"/>
        <v>0</v>
      </c>
      <c r="U19" s="2">
        <f t="shared" si="12"/>
        <v>0</v>
      </c>
      <c r="V19" s="2">
        <f t="shared" si="12"/>
        <v>0</v>
      </c>
      <c r="W19" s="2">
        <f t="shared" si="12"/>
        <v>0</v>
      </c>
      <c r="X19" s="2">
        <f t="shared" si="12"/>
        <v>0</v>
      </c>
      <c r="Y19" s="2">
        <f t="shared" si="12"/>
        <v>1</v>
      </c>
      <c r="Z19" s="16"/>
    </row>
    <row r="20" spans="13:26" ht="30.75" thickBot="1" x14ac:dyDescent="0.3">
      <c r="M20" s="8" t="s">
        <v>37</v>
      </c>
      <c r="N20" s="26"/>
      <c r="O20" s="21">
        <f>O14-($O$10*$R$14)/$R$10</f>
        <v>13.75</v>
      </c>
      <c r="P20" s="21">
        <f t="shared" ref="P20:Y20" si="13">P14-($O$10*$R$14)/$R$10</f>
        <v>3.45</v>
      </c>
      <c r="Q20" s="21">
        <f t="shared" si="13"/>
        <v>3.75</v>
      </c>
      <c r="R20" s="21">
        <f t="shared" si="13"/>
        <v>2.25</v>
      </c>
      <c r="S20" s="21">
        <f t="shared" si="13"/>
        <v>3.45</v>
      </c>
      <c r="T20" s="21">
        <f t="shared" si="13"/>
        <v>3</v>
      </c>
      <c r="U20" s="21">
        <f t="shared" si="13"/>
        <v>4</v>
      </c>
      <c r="V20" s="21">
        <f t="shared" si="13"/>
        <v>3.75</v>
      </c>
      <c r="W20" s="21">
        <f t="shared" si="13"/>
        <v>3.75</v>
      </c>
      <c r="X20" s="21">
        <f t="shared" si="13"/>
        <v>3.75</v>
      </c>
      <c r="Y20" s="21">
        <f t="shared" si="13"/>
        <v>3.75</v>
      </c>
      <c r="Z20" s="19"/>
    </row>
  </sheetData>
  <mergeCells count="11">
    <mergeCell ref="N1:N2"/>
    <mergeCell ref="M9:M13"/>
    <mergeCell ref="O1:O2"/>
    <mergeCell ref="Z1:Z2"/>
    <mergeCell ref="M3:M7"/>
    <mergeCell ref="P1:Y1"/>
    <mergeCell ref="M15:M19"/>
    <mergeCell ref="A1:A2"/>
    <mergeCell ref="B1:B2"/>
    <mergeCell ref="C1:G1"/>
    <mergeCell ref="M1:M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CAFE-FC76-4098-8B49-DA081473634F}">
  <dimension ref="A1:T12"/>
  <sheetViews>
    <sheetView topLeftCell="C1" workbookViewId="0">
      <selection activeCell="T3" sqref="T3"/>
    </sheetView>
  </sheetViews>
  <sheetFormatPr defaultRowHeight="15" x14ac:dyDescent="0.25"/>
  <cols>
    <col min="1" max="1" width="20.7109375" customWidth="1"/>
    <col min="2" max="2" width="13.140625" customWidth="1"/>
    <col min="3" max="4" width="15.140625" customWidth="1"/>
    <col min="5" max="5" width="13.7109375" customWidth="1"/>
    <col min="6" max="6" width="14.7109375" customWidth="1"/>
    <col min="7" max="7" width="13.28515625" customWidth="1"/>
  </cols>
  <sheetData>
    <row r="1" spans="1:20" x14ac:dyDescent="0.25">
      <c r="A1" s="29" t="s">
        <v>0</v>
      </c>
      <c r="B1" s="29" t="s">
        <v>1</v>
      </c>
      <c r="C1" s="29" t="s">
        <v>2</v>
      </c>
      <c r="D1" s="29"/>
      <c r="E1" s="29"/>
      <c r="F1" s="29"/>
      <c r="G1" s="29"/>
    </row>
    <row r="2" spans="1:20" ht="27.75" customHeight="1" x14ac:dyDescent="0.25">
      <c r="A2" s="29"/>
      <c r="B2" s="29"/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J2" t="s">
        <v>16</v>
      </c>
      <c r="N2" t="s">
        <v>18</v>
      </c>
      <c r="T2" t="s">
        <v>24</v>
      </c>
    </row>
    <row r="3" spans="1:20" ht="18" x14ac:dyDescent="0.35">
      <c r="A3" s="1" t="s">
        <v>3</v>
      </c>
      <c r="B3" s="2">
        <v>40</v>
      </c>
      <c r="C3" s="2">
        <v>4</v>
      </c>
      <c r="D3" s="2">
        <v>8</v>
      </c>
      <c r="E3" s="2" t="s">
        <v>14</v>
      </c>
      <c r="F3" s="2" t="s">
        <v>14</v>
      </c>
      <c r="G3" s="2">
        <v>3.8</v>
      </c>
      <c r="J3">
        <f>SUMPRODUCT(C3:G3,$N$4:$R$4)</f>
        <v>39.799999999999997</v>
      </c>
      <c r="K3" t="s">
        <v>17</v>
      </c>
      <c r="L3" s="6">
        <v>40</v>
      </c>
      <c r="N3" s="4" t="s">
        <v>19</v>
      </c>
      <c r="O3" s="4" t="s">
        <v>20</v>
      </c>
      <c r="P3" s="4" t="s">
        <v>21</v>
      </c>
      <c r="Q3" s="4" t="s">
        <v>22</v>
      </c>
      <c r="R3" s="4" t="s">
        <v>23</v>
      </c>
      <c r="T3">
        <f>SUMPRODUCT(C8:G8,N4:R4)</f>
        <v>728</v>
      </c>
    </row>
    <row r="4" spans="1:20" x14ac:dyDescent="0.25">
      <c r="A4" s="1" t="s">
        <v>4</v>
      </c>
      <c r="B4" s="2">
        <v>25</v>
      </c>
      <c r="C4" s="2">
        <v>2.5</v>
      </c>
      <c r="D4" s="2" t="s">
        <v>14</v>
      </c>
      <c r="E4" s="2">
        <v>10</v>
      </c>
      <c r="F4" s="2" t="s">
        <v>14</v>
      </c>
      <c r="G4" s="2" t="s">
        <v>14</v>
      </c>
      <c r="J4">
        <f t="shared" ref="J4:J7" si="0">SUMPRODUCT(C4:G4,$N$4:$R$4)</f>
        <v>22.5</v>
      </c>
      <c r="K4" t="s">
        <v>17</v>
      </c>
      <c r="L4" s="6">
        <v>25</v>
      </c>
      <c r="N4" s="5">
        <v>1</v>
      </c>
      <c r="O4" s="5">
        <v>4</v>
      </c>
      <c r="P4" s="5">
        <v>2</v>
      </c>
      <c r="Q4" s="5">
        <v>2380</v>
      </c>
      <c r="R4" s="5">
        <v>1</v>
      </c>
    </row>
    <row r="5" spans="1:20" x14ac:dyDescent="0.25">
      <c r="A5" s="1" t="s">
        <v>5</v>
      </c>
      <c r="B5" s="2">
        <v>27</v>
      </c>
      <c r="C5" s="2">
        <v>3.2</v>
      </c>
      <c r="D5" s="2">
        <v>2</v>
      </c>
      <c r="E5" s="2">
        <v>2</v>
      </c>
      <c r="F5" s="2" t="s">
        <v>14</v>
      </c>
      <c r="G5" s="2">
        <v>4.5999999999999996</v>
      </c>
      <c r="J5">
        <f t="shared" si="0"/>
        <v>19.799999999999997</v>
      </c>
      <c r="K5" t="s">
        <v>17</v>
      </c>
      <c r="L5" s="6">
        <v>27</v>
      </c>
    </row>
    <row r="6" spans="1:20" ht="37.5" customHeight="1" x14ac:dyDescent="0.25">
      <c r="A6" s="1" t="s">
        <v>6</v>
      </c>
      <c r="B6" s="2">
        <v>20</v>
      </c>
      <c r="C6" s="2">
        <v>2.1</v>
      </c>
      <c r="D6" s="2">
        <v>2.6</v>
      </c>
      <c r="E6" s="2">
        <v>2.2999999999999998</v>
      </c>
      <c r="F6" s="2" t="s">
        <v>14</v>
      </c>
      <c r="G6" s="2">
        <v>2.8</v>
      </c>
      <c r="J6">
        <f t="shared" si="0"/>
        <v>19.900000000000002</v>
      </c>
      <c r="K6" t="s">
        <v>17</v>
      </c>
      <c r="L6" s="6">
        <v>20</v>
      </c>
    </row>
    <row r="7" spans="1:20" ht="19.5" customHeight="1" x14ac:dyDescent="0.25">
      <c r="A7" s="1" t="s">
        <v>7</v>
      </c>
      <c r="B7" s="2">
        <v>50000</v>
      </c>
      <c r="C7" s="2">
        <v>6.5</v>
      </c>
      <c r="D7" s="2" t="s">
        <v>14</v>
      </c>
      <c r="E7" s="2" t="s">
        <v>14</v>
      </c>
      <c r="F7" s="2">
        <v>21</v>
      </c>
      <c r="G7" s="2" t="s">
        <v>14</v>
      </c>
      <c r="J7">
        <f t="shared" si="0"/>
        <v>49986.5</v>
      </c>
      <c r="K7" t="s">
        <v>17</v>
      </c>
      <c r="L7" s="6">
        <v>50000</v>
      </c>
    </row>
    <row r="8" spans="1:20" ht="15.75" customHeight="1" x14ac:dyDescent="0.25">
      <c r="A8" s="1" t="s">
        <v>8</v>
      </c>
      <c r="B8" s="2"/>
      <c r="C8" s="2">
        <v>1.3</v>
      </c>
      <c r="D8" s="2">
        <v>2</v>
      </c>
      <c r="E8" s="2">
        <v>1.5</v>
      </c>
      <c r="F8" s="2">
        <v>0.3</v>
      </c>
      <c r="G8" s="2">
        <v>1.7</v>
      </c>
    </row>
    <row r="12" spans="1:20" x14ac:dyDescent="0.25">
      <c r="A12" s="3" t="s">
        <v>15</v>
      </c>
    </row>
  </sheetData>
  <mergeCells count="3">
    <mergeCell ref="A1:A2"/>
    <mergeCell ref="B1:B2"/>
    <mergeCell ref="C1:G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симплекс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2026-02-02T06:25:55Z</dcterms:modified>
</cp:coreProperties>
</file>