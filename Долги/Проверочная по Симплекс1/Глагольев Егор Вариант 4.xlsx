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оставлению математических моделей\"/>
    </mc:Choice>
  </mc:AlternateContent>
  <xr:revisionPtr revIDLastSave="0" documentId="13_ncr:1_{53B6C44C-2FF0-42C4-99E9-3B90B94ED147}" xr6:coauthVersionLast="47" xr6:coauthVersionMax="47" xr10:uidLastSave="{00000000-0000-0000-0000-000000000000}"/>
  <bookViews>
    <workbookView xWindow="-120" yWindow="-120" windowWidth="29040" windowHeight="15840" xr2:uid="{829EA9B9-DBE5-4B62-879A-F799FF9E770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" i="1" l="1"/>
  <c r="N14" i="1"/>
  <c r="O14" i="1"/>
  <c r="P14" i="1"/>
  <c r="Q14" i="1"/>
  <c r="R14" i="1"/>
  <c r="S14" i="1"/>
  <c r="M14" i="1"/>
  <c r="N13" i="1"/>
  <c r="O13" i="1"/>
  <c r="P13" i="1"/>
  <c r="Q13" i="1"/>
  <c r="R13" i="1"/>
  <c r="S13" i="1"/>
  <c r="M13" i="1"/>
  <c r="N12" i="1"/>
  <c r="O12" i="1"/>
  <c r="P12" i="1"/>
  <c r="Q12" i="1"/>
  <c r="R12" i="1"/>
  <c r="S12" i="1"/>
  <c r="M12" i="1"/>
  <c r="N11" i="1"/>
  <c r="O11" i="1"/>
  <c r="P11" i="1"/>
  <c r="Q11" i="1"/>
  <c r="R11" i="1"/>
  <c r="S11" i="1"/>
  <c r="M11" i="1"/>
  <c r="N10" i="1"/>
  <c r="O10" i="1"/>
  <c r="P10" i="1"/>
  <c r="Q10" i="1"/>
  <c r="R10" i="1"/>
  <c r="S10" i="1"/>
  <c r="M10" i="1"/>
  <c r="N9" i="1"/>
  <c r="O9" i="1"/>
  <c r="P9" i="1"/>
  <c r="Q9" i="1"/>
  <c r="R9" i="1"/>
  <c r="S9" i="1"/>
  <c r="M9" i="1"/>
  <c r="T9" i="1" s="1"/>
  <c r="N7" i="1"/>
  <c r="O7" i="1"/>
  <c r="P7" i="1"/>
  <c r="Q7" i="1"/>
  <c r="R7" i="1"/>
  <c r="S7" i="1"/>
  <c r="M7" i="1"/>
  <c r="N8" i="1"/>
  <c r="O8" i="1"/>
  <c r="P8" i="1"/>
  <c r="Q8" i="1"/>
  <c r="R8" i="1"/>
  <c r="S8" i="1"/>
  <c r="M8" i="1"/>
  <c r="T8" i="1"/>
  <c r="T7" i="1"/>
  <c r="T4" i="1"/>
  <c r="T5" i="1"/>
  <c r="T3" i="1"/>
</calcChain>
</file>

<file path=xl/sharedStrings.xml><?xml version="1.0" encoding="utf-8"?>
<sst xmlns="http://schemas.openxmlformats.org/spreadsheetml/2006/main" count="38" uniqueCount="29">
  <si>
    <t>Виды материально-денежных ресурсов</t>
  </si>
  <si>
    <t>Норма затрат материально-денежных ресурсов a, на 1 тыс. руб.</t>
  </si>
  <si>
    <t>Объем ресурсов, b</t>
  </si>
  <si>
    <t>группа A</t>
  </si>
  <si>
    <t>группа B</t>
  </si>
  <si>
    <t>группа C</t>
  </si>
  <si>
    <t>Доход, тыс.руб</t>
  </si>
  <si>
    <t>max</t>
  </si>
  <si>
    <t>Ресурс первого вида, ед.</t>
  </si>
  <si>
    <t>Ресурс второго вида, ед.</t>
  </si>
  <si>
    <t>Ресурс третьего вида, ед.</t>
  </si>
  <si>
    <t xml:space="preserve">Определить </t>
  </si>
  <si>
    <t>План</t>
  </si>
  <si>
    <t>Базисные переменные</t>
  </si>
  <si>
    <t>Значения базисных переменных</t>
  </si>
  <si>
    <r>
      <t>Значения коэффициентов, a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</si>
  <si>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</si>
  <si>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</si>
  <si>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4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</si>
  <si>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5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</si>
  <si>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6</t>
    </r>
  </si>
  <si>
    <t>I</t>
  </si>
  <si>
    <t>Индексная строка</t>
  </si>
  <si>
    <r>
      <t>x</t>
    </r>
    <r>
      <rPr>
        <vertAlign val="subscript"/>
        <sz val="11"/>
        <rFont val="Calibri"/>
        <family val="2"/>
        <charset val="204"/>
        <scheme val="minor"/>
      </rPr>
      <t>2</t>
    </r>
  </si>
  <si>
    <r>
      <rPr>
        <sz val="11"/>
        <color theme="1"/>
        <rFont val="Calibri"/>
        <family val="2"/>
        <charset val="204"/>
      </rPr>
      <t>Θ</t>
    </r>
    <r>
      <rPr>
        <sz val="11"/>
        <color theme="1"/>
        <rFont val="Calibri"/>
        <family val="2"/>
      </rPr>
      <t>, min</t>
    </r>
  </si>
  <si>
    <t>ll</t>
  </si>
  <si>
    <r>
      <t>→x</t>
    </r>
    <r>
      <rPr>
        <vertAlign val="subscript"/>
        <sz val="11"/>
        <color theme="1"/>
        <rFont val="Calibri"/>
        <family val="2"/>
        <charset val="204"/>
        <scheme val="minor"/>
      </rPr>
      <t>5</t>
    </r>
  </si>
  <si>
    <t>llI</t>
  </si>
  <si>
    <r>
      <t>x</t>
    </r>
    <r>
      <rPr>
        <vertAlign val="subscript"/>
        <sz val="11"/>
        <rFont val="Calibri"/>
        <family val="2"/>
        <charset val="204"/>
        <scheme val="minor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</si>
</sst>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vertAlign val="subscript"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3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textRotation="90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952500</xdr:colOff>
      <xdr:row>6</xdr:row>
      <xdr:rowOff>180975</xdr:rowOff>
    </xdr:from>
    <xdr:to>
      <xdr:col>0</xdr:col>
      <xdr:colOff>2181225</xdr:colOff>
      <xdr:row>8</xdr:row>
      <xdr:rowOff>9525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EFCE8DD-D361-241B-8665-24EE74720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733550"/>
          <a:ext cx="12287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190500</xdr:colOff>
      <xdr:row>9</xdr:row>
      <xdr:rowOff>0</xdr:rowOff>
    </xdr:from>
    <xdr:to>
      <xdr:col>0</xdr:col>
      <xdr:colOff>2143125</xdr:colOff>
      <xdr:row>13</xdr:row>
      <xdr:rowOff>66675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B90F967-D80E-644E-38A5-6E6C26B11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124075"/>
          <a:ext cx="19526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95250</xdr:colOff>
      <xdr:row>14</xdr:row>
      <xdr:rowOff>180975</xdr:rowOff>
    </xdr:from>
    <xdr:to>
      <xdr:col>0</xdr:col>
      <xdr:colOff>2543175</xdr:colOff>
      <xdr:row>16</xdr:row>
      <xdr:rowOff>28575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6941FB0-147E-A8E7-E390-2521E105B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257550"/>
          <a:ext cx="24479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1000125</xdr:colOff>
      <xdr:row>13</xdr:row>
      <xdr:rowOff>66675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57C2357-D9BD-5D56-BAAC-B6530F941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2124075"/>
          <a:ext cx="216217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4</xdr:col>
      <xdr:colOff>95250</xdr:colOff>
      <xdr:row>18</xdr:row>
      <xdr:rowOff>104775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70AC897D-7160-E189-B514-62CEED739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3076575"/>
          <a:ext cx="2362200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476250</xdr:colOff>
      <xdr:row>22</xdr:row>
      <xdr:rowOff>180975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5AFAF359-D3DD-9DF0-201B-E14D6EF66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4219575"/>
          <a:ext cx="163830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4</xdr:col>
      <xdr:colOff>171450</xdr:colOff>
      <xdr:row>25</xdr:row>
      <xdr:rowOff>38100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DF57F2FF-A3AA-EF8D-C730-17ACCCCA2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4981575"/>
          <a:ext cx="24384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114300</xdr:colOff>
      <xdr:row>5</xdr:row>
      <xdr:rowOff>85725</xdr:rowOff>
    </xdr:from>
    <xdr:to>
      <xdr:col>11</xdr:col>
      <xdr:colOff>495300</xdr:colOff>
      <xdr:row>5</xdr:row>
      <xdr:rowOff>314325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298F39B9-1C4B-47D1-BEF6-A1A18958D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87200" y="1628775"/>
          <a:ext cx="3810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76200</xdr:colOff>
      <xdr:row>9</xdr:row>
      <xdr:rowOff>104775</xdr:rowOff>
    </xdr:from>
    <xdr:to>
      <xdr:col>11</xdr:col>
      <xdr:colOff>523875</xdr:colOff>
      <xdr:row>9</xdr:row>
      <xdr:rowOff>333375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867C287C-D655-FF5B-8DA1-26FBE8EA4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2533650"/>
          <a:ext cx="44767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76200</xdr:colOff>
      <xdr:row>13</xdr:row>
      <xdr:rowOff>104775</xdr:rowOff>
    </xdr:from>
    <xdr:to>
      <xdr:col>11</xdr:col>
      <xdr:colOff>523875</xdr:colOff>
      <xdr:row>13</xdr:row>
      <xdr:rowOff>333375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E05EB814-B192-47A4-A4EA-7A42E8A25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2752725"/>
          <a:ext cx="44767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47625</xdr:colOff>
      <xdr:row>15</xdr:row>
      <xdr:rowOff>123825</xdr:rowOff>
    </xdr:from>
    <xdr:to>
      <xdr:col>13</xdr:col>
      <xdr:colOff>152400</xdr:colOff>
      <xdr:row>17</xdr:row>
      <xdr:rowOff>19050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112459E3-DB2D-B355-95FD-2C45B918F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8900" y="4410075"/>
          <a:ext cx="2095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85725</xdr:colOff>
      <xdr:row>17</xdr:row>
      <xdr:rowOff>152400</xdr:rowOff>
    </xdr:from>
    <xdr:to>
      <xdr:col>10</xdr:col>
      <xdr:colOff>552450</xdr:colOff>
      <xdr:row>19</xdr:row>
      <xdr:rowOff>47625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A4A4ABB6-B035-9539-5BAA-301E73D23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4819650"/>
          <a:ext cx="4667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EDE67-FD44-48A6-A341-5EB0907A0195}">
  <dimension ref="A1:T19"/>
  <sheetViews>
    <sheetView tabSelected="1" topLeftCell="B1" zoomScaleNormal="100" workbookViewId="0">
      <selection activeCell="L19" sqref="L19"/>
    </sheetView>
  </sheetViews>
  <sheetFormatPr defaultRowHeight="15" x14ac:dyDescent="0.25"/>
  <cols>
    <col min="1" max="1" width="39.7109375" customWidth="1"/>
    <col min="2" max="2" width="19.7109375" customWidth="1"/>
    <col min="3" max="3" width="17.42578125" customWidth="1"/>
    <col min="4" max="4" width="16.5703125" customWidth="1"/>
    <col min="5" max="5" width="13.85546875" customWidth="1"/>
    <col min="11" max="11" width="11.5703125" customWidth="1"/>
  </cols>
  <sheetData>
    <row r="1" spans="1:20" ht="41.25" customHeight="1" x14ac:dyDescent="0.25">
      <c r="A1" s="13" t="s">
        <v>0</v>
      </c>
      <c r="B1" s="14" t="s">
        <v>1</v>
      </c>
      <c r="C1" s="14"/>
      <c r="D1" s="14"/>
      <c r="E1" s="14" t="s">
        <v>2</v>
      </c>
      <c r="K1" s="13" t="s">
        <v>12</v>
      </c>
      <c r="L1" s="15" t="s">
        <v>13</v>
      </c>
      <c r="M1" s="15" t="s">
        <v>14</v>
      </c>
      <c r="N1" s="13" t="s">
        <v>15</v>
      </c>
      <c r="O1" s="13"/>
      <c r="P1" s="13"/>
      <c r="Q1" s="13"/>
      <c r="R1" s="13"/>
      <c r="S1" s="13"/>
      <c r="T1" s="18" t="s">
        <v>24</v>
      </c>
    </row>
    <row r="2" spans="1:20" ht="29.25" customHeight="1" x14ac:dyDescent="0.25">
      <c r="A2" s="13"/>
      <c r="B2" s="2" t="s">
        <v>3</v>
      </c>
      <c r="C2" s="2" t="s">
        <v>4</v>
      </c>
      <c r="D2" s="2" t="s">
        <v>5</v>
      </c>
      <c r="E2" s="14"/>
      <c r="K2" s="13"/>
      <c r="L2" s="15"/>
      <c r="M2" s="15"/>
      <c r="N2" s="1" t="s">
        <v>16</v>
      </c>
      <c r="O2" s="9" t="s">
        <v>23</v>
      </c>
      <c r="P2" s="1" t="s">
        <v>17</v>
      </c>
      <c r="Q2" s="1" t="s">
        <v>18</v>
      </c>
      <c r="R2" s="1" t="s">
        <v>19</v>
      </c>
      <c r="S2" s="1" t="s">
        <v>20</v>
      </c>
      <c r="T2" s="18"/>
    </row>
    <row r="3" spans="1:20" ht="18" x14ac:dyDescent="0.25">
      <c r="A3" s="3" t="s">
        <v>8</v>
      </c>
      <c r="B3" s="1">
        <v>3</v>
      </c>
      <c r="C3" s="1">
        <v>2</v>
      </c>
      <c r="D3" s="1">
        <v>1</v>
      </c>
      <c r="E3" s="1">
        <v>420</v>
      </c>
      <c r="K3" s="17" t="s">
        <v>21</v>
      </c>
      <c r="L3" s="1" t="s">
        <v>18</v>
      </c>
      <c r="M3" s="1">
        <v>420</v>
      </c>
      <c r="N3" s="1">
        <v>3</v>
      </c>
      <c r="O3" s="1">
        <v>2</v>
      </c>
      <c r="P3" s="1">
        <v>1</v>
      </c>
      <c r="Q3" s="1">
        <v>1</v>
      </c>
      <c r="R3" s="1">
        <v>0</v>
      </c>
      <c r="S3" s="1">
        <v>0</v>
      </c>
      <c r="T3" s="8">
        <f>M3/P3</f>
        <v>420</v>
      </c>
    </row>
    <row r="4" spans="1:20" ht="18" x14ac:dyDescent="0.25">
      <c r="A4" s="3" t="s">
        <v>9</v>
      </c>
      <c r="B4" s="1">
        <v>2</v>
      </c>
      <c r="C4" s="1">
        <v>1</v>
      </c>
      <c r="D4" s="1">
        <v>3</v>
      </c>
      <c r="E4" s="1">
        <v>600</v>
      </c>
      <c r="K4" s="17"/>
      <c r="L4" s="1" t="s">
        <v>26</v>
      </c>
      <c r="M4" s="1">
        <v>600</v>
      </c>
      <c r="N4" s="1">
        <v>2</v>
      </c>
      <c r="O4" s="1">
        <v>1</v>
      </c>
      <c r="P4" s="6">
        <v>3</v>
      </c>
      <c r="Q4" s="1">
        <v>0</v>
      </c>
      <c r="R4" s="1">
        <v>1</v>
      </c>
      <c r="S4" s="1">
        <v>0</v>
      </c>
      <c r="T4" s="10">
        <f t="shared" ref="T4:T5" si="0">M4/P4</f>
        <v>200</v>
      </c>
    </row>
    <row r="5" spans="1:20" ht="18" x14ac:dyDescent="0.25">
      <c r="A5" s="3" t="s">
        <v>10</v>
      </c>
      <c r="B5" s="1">
        <v>0</v>
      </c>
      <c r="C5" s="1">
        <v>2</v>
      </c>
      <c r="D5" s="1">
        <v>1</v>
      </c>
      <c r="E5" s="1">
        <v>900</v>
      </c>
      <c r="K5" s="17"/>
      <c r="L5" s="1" t="s">
        <v>20</v>
      </c>
      <c r="M5" s="1">
        <v>900</v>
      </c>
      <c r="N5" s="1">
        <v>0</v>
      </c>
      <c r="O5" s="1">
        <v>2</v>
      </c>
      <c r="P5" s="1">
        <v>1</v>
      </c>
      <c r="Q5" s="1">
        <v>0</v>
      </c>
      <c r="R5" s="1">
        <v>0</v>
      </c>
      <c r="S5" s="1">
        <v>1</v>
      </c>
      <c r="T5" s="8">
        <f t="shared" si="0"/>
        <v>900</v>
      </c>
    </row>
    <row r="6" spans="1:20" ht="30" x14ac:dyDescent="0.25">
      <c r="A6" s="3" t="s">
        <v>6</v>
      </c>
      <c r="B6" s="1">
        <v>3</v>
      </c>
      <c r="C6" s="1">
        <v>3</v>
      </c>
      <c r="D6" s="1">
        <v>4</v>
      </c>
      <c r="E6" s="1" t="s">
        <v>7</v>
      </c>
      <c r="K6" s="7" t="s">
        <v>22</v>
      </c>
      <c r="L6" s="8"/>
      <c r="M6" s="1">
        <v>0</v>
      </c>
      <c r="N6" s="1">
        <v>-3</v>
      </c>
      <c r="O6" s="1">
        <v>-3</v>
      </c>
      <c r="P6" s="5">
        <v>-4</v>
      </c>
      <c r="Q6" s="1">
        <v>0</v>
      </c>
      <c r="R6" s="1">
        <v>0</v>
      </c>
      <c r="S6" s="1">
        <v>0</v>
      </c>
      <c r="T6" s="8"/>
    </row>
    <row r="7" spans="1:20" ht="18" x14ac:dyDescent="0.25">
      <c r="K7" s="16" t="s">
        <v>25</v>
      </c>
      <c r="L7" s="1" t="s">
        <v>18</v>
      </c>
      <c r="M7" s="1">
        <f>M3-(M8*$P$3)</f>
        <v>220</v>
      </c>
      <c r="N7" s="1">
        <f t="shared" ref="N7:S7" si="1">N3-(N8*$P$3)</f>
        <v>2.3333333333333335</v>
      </c>
      <c r="O7" s="6">
        <f t="shared" si="1"/>
        <v>1.6666666666666667</v>
      </c>
      <c r="P7" s="1">
        <f t="shared" si="1"/>
        <v>0</v>
      </c>
      <c r="Q7" s="1">
        <f t="shared" si="1"/>
        <v>1</v>
      </c>
      <c r="R7" s="1">
        <f t="shared" si="1"/>
        <v>-0.33333333333333331</v>
      </c>
      <c r="S7" s="1">
        <f t="shared" si="1"/>
        <v>0</v>
      </c>
      <c r="T7" s="5">
        <f>M7/O7</f>
        <v>132</v>
      </c>
    </row>
    <row r="8" spans="1:20" ht="18" x14ac:dyDescent="0.25">
      <c r="A8" s="4" t="s">
        <v>11</v>
      </c>
      <c r="K8" s="16"/>
      <c r="L8" s="1" t="s">
        <v>17</v>
      </c>
      <c r="M8" s="1">
        <f>M4/$P$4</f>
        <v>200</v>
      </c>
      <c r="N8" s="1">
        <f t="shared" ref="N8:S8" si="2">N4/$P$4</f>
        <v>0.66666666666666663</v>
      </c>
      <c r="O8" s="1">
        <f t="shared" si="2"/>
        <v>0.33333333333333331</v>
      </c>
      <c r="P8" s="1">
        <f t="shared" si="2"/>
        <v>1</v>
      </c>
      <c r="Q8" s="1">
        <f t="shared" si="2"/>
        <v>0</v>
      </c>
      <c r="R8" s="1">
        <f t="shared" si="2"/>
        <v>0.33333333333333331</v>
      </c>
      <c r="S8" s="1">
        <f t="shared" si="2"/>
        <v>0</v>
      </c>
      <c r="T8" s="12">
        <f t="shared" ref="T8:T9" si="3">M8/O8</f>
        <v>600</v>
      </c>
    </row>
    <row r="9" spans="1:20" ht="18" x14ac:dyDescent="0.25">
      <c r="K9" s="16"/>
      <c r="L9" s="1" t="s">
        <v>20</v>
      </c>
      <c r="M9" s="1">
        <f>M5-(M8*$P$5)</f>
        <v>700</v>
      </c>
      <c r="N9" s="1">
        <f>N5-(N8*$P$5)</f>
        <v>-0.66666666666666663</v>
      </c>
      <c r="O9" s="1">
        <f t="shared" ref="O9:S9" si="4">O5-(O8*$P$5)</f>
        <v>1.6666666666666667</v>
      </c>
      <c r="P9" s="1">
        <f t="shared" si="4"/>
        <v>0</v>
      </c>
      <c r="Q9" s="1">
        <f t="shared" si="4"/>
        <v>0</v>
      </c>
      <c r="R9" s="1">
        <f t="shared" si="4"/>
        <v>-0.33333333333333331</v>
      </c>
      <c r="S9" s="1">
        <f t="shared" si="4"/>
        <v>1</v>
      </c>
      <c r="T9" s="1">
        <f t="shared" si="3"/>
        <v>420</v>
      </c>
    </row>
    <row r="10" spans="1:20" ht="30" x14ac:dyDescent="0.25">
      <c r="K10" s="11" t="s">
        <v>22</v>
      </c>
      <c r="L10" s="8"/>
      <c r="M10" s="1">
        <f>M6-M8*$P$6</f>
        <v>800</v>
      </c>
      <c r="N10" s="1">
        <f t="shared" ref="N10:S10" si="5">N6-N8*$P$6</f>
        <v>-0.33333333333333348</v>
      </c>
      <c r="O10" s="5">
        <f t="shared" si="5"/>
        <v>-1.6666666666666667</v>
      </c>
      <c r="P10" s="1">
        <f t="shared" si="5"/>
        <v>0</v>
      </c>
      <c r="Q10" s="1">
        <f t="shared" si="5"/>
        <v>0</v>
      </c>
      <c r="R10" s="1">
        <f t="shared" si="5"/>
        <v>1.3333333333333333</v>
      </c>
      <c r="S10" s="1">
        <f t="shared" si="5"/>
        <v>0</v>
      </c>
      <c r="T10" s="1"/>
    </row>
    <row r="11" spans="1:20" ht="18" x14ac:dyDescent="0.25">
      <c r="K11" s="16" t="s">
        <v>27</v>
      </c>
      <c r="L11" s="9" t="s">
        <v>23</v>
      </c>
      <c r="M11" s="8">
        <f>M7/$O$7</f>
        <v>132</v>
      </c>
      <c r="N11" s="8">
        <f t="shared" ref="N11:S11" si="6">N7/$O$7</f>
        <v>1.4000000000000001</v>
      </c>
      <c r="O11" s="8">
        <f t="shared" si="6"/>
        <v>1</v>
      </c>
      <c r="P11" s="8">
        <f t="shared" si="6"/>
        <v>0</v>
      </c>
      <c r="Q11" s="8">
        <f t="shared" si="6"/>
        <v>0.6</v>
      </c>
      <c r="R11" s="8">
        <f t="shared" si="6"/>
        <v>-0.19999999999999998</v>
      </c>
      <c r="S11" s="8">
        <f t="shared" si="6"/>
        <v>0</v>
      </c>
      <c r="T11" s="8"/>
    </row>
    <row r="12" spans="1:20" ht="18" x14ac:dyDescent="0.25">
      <c r="K12" s="16"/>
      <c r="L12" s="9" t="s">
        <v>28</v>
      </c>
      <c r="M12" s="8">
        <f>M8-M11*$O$8</f>
        <v>156</v>
      </c>
      <c r="N12" s="8">
        <f t="shared" ref="N12:S12" si="7">N8-N11*$O$8</f>
        <v>0.19999999999999996</v>
      </c>
      <c r="O12" s="8">
        <f t="shared" si="7"/>
        <v>0</v>
      </c>
      <c r="P12" s="8">
        <f t="shared" si="7"/>
        <v>1</v>
      </c>
      <c r="Q12" s="8">
        <f t="shared" si="7"/>
        <v>-0.19999999999999998</v>
      </c>
      <c r="R12" s="8">
        <f t="shared" si="7"/>
        <v>0.39999999999999997</v>
      </c>
      <c r="S12" s="8">
        <f t="shared" si="7"/>
        <v>0</v>
      </c>
      <c r="T12" s="8"/>
    </row>
    <row r="13" spans="1:20" ht="18" x14ac:dyDescent="0.25">
      <c r="K13" s="16"/>
      <c r="L13" s="1" t="s">
        <v>20</v>
      </c>
      <c r="M13" s="8">
        <f>M9-M11*$O$9</f>
        <v>480</v>
      </c>
      <c r="N13" s="8">
        <f t="shared" ref="N13:S13" si="8">N9-N11*$O$9</f>
        <v>-3</v>
      </c>
      <c r="O13" s="8">
        <f t="shared" si="8"/>
        <v>0</v>
      </c>
      <c r="P13" s="8">
        <f t="shared" si="8"/>
        <v>0</v>
      </c>
      <c r="Q13" s="8">
        <f t="shared" si="8"/>
        <v>-1</v>
      </c>
      <c r="R13" s="8">
        <f t="shared" si="8"/>
        <v>0</v>
      </c>
      <c r="S13" s="8">
        <f t="shared" si="8"/>
        <v>1</v>
      </c>
      <c r="T13" s="8"/>
    </row>
    <row r="14" spans="1:20" ht="30" x14ac:dyDescent="0.25">
      <c r="K14" s="11" t="s">
        <v>22</v>
      </c>
      <c r="L14" s="8"/>
      <c r="M14" s="8">
        <f>M10-M11*$O$10</f>
        <v>1020</v>
      </c>
      <c r="N14" s="8">
        <f t="shared" ref="N14:S14" si="9">N10-N11*$O$10</f>
        <v>2</v>
      </c>
      <c r="O14" s="8">
        <f t="shared" si="9"/>
        <v>0</v>
      </c>
      <c r="P14" s="8">
        <f t="shared" si="9"/>
        <v>0</v>
      </c>
      <c r="Q14" s="8">
        <f t="shared" si="9"/>
        <v>1</v>
      </c>
      <c r="R14" s="8">
        <f t="shared" si="9"/>
        <v>1</v>
      </c>
      <c r="S14" s="8">
        <f t="shared" si="9"/>
        <v>0</v>
      </c>
      <c r="T14" s="8"/>
    </row>
    <row r="19" spans="12:12" x14ac:dyDescent="0.25">
      <c r="L19">
        <f xml:space="preserve"> 1020</f>
        <v>1020</v>
      </c>
    </row>
  </sheetData>
  <mergeCells count="11">
    <mergeCell ref="K11:K13"/>
    <mergeCell ref="M1:M2"/>
    <mergeCell ref="N1:S1"/>
    <mergeCell ref="K3:K5"/>
    <mergeCell ref="T1:T2"/>
    <mergeCell ref="K7:K9"/>
    <mergeCell ref="A1:A2"/>
    <mergeCell ref="B1:D1"/>
    <mergeCell ref="E1:E2"/>
    <mergeCell ref="K1:K2"/>
    <mergeCell ref="L1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2026-01-26T05:21:45Z</dcterms:created>
  <dcterms:modified xsi:type="dcterms:W3CDTF">2026-01-30T06:46:27Z</dcterms:modified>
</cp:coreProperties>
</file>