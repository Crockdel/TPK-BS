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П-40\Мат моделир\"/>
    </mc:Choice>
  </mc:AlternateContent>
  <xr:revisionPtr revIDLastSave="0" documentId="13_ncr:1_{F1C1F9E5-CD7E-4769-9ED5-85EE3090845E}" xr6:coauthVersionLast="47" xr6:coauthVersionMax="47" xr10:uidLastSave="{00000000-0000-0000-0000-000000000000}"/>
  <bookViews>
    <workbookView xWindow="-120" yWindow="330" windowWidth="29040" windowHeight="15390" xr2:uid="{00000000-000D-0000-FFFF-FFFF00000000}"/>
  </bookViews>
  <sheets>
    <sheet name="Лист1" sheetId="1" r:id="rId1"/>
  </sheets>
  <definedNames>
    <definedName name="solver_adj" localSheetId="0" hidden="1">Лист1!$R$4:$U$4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Лист1!$M$3</definedName>
    <definedName name="solver_lhs2" localSheetId="0" hidden="1">Лист1!$M$4</definedName>
    <definedName name="solver_lhs3" localSheetId="0" hidden="1">Лист1!$M$5</definedName>
    <definedName name="solver_lhs4" localSheetId="0" hidden="1">Лист1!$R$4:$U$4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4</definedName>
    <definedName name="solver_nwt" localSheetId="0" hidden="1">1</definedName>
    <definedName name="solver_opt" localSheetId="0" hidden="1">Лист1!$W$3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2" localSheetId="0" hidden="1">3</definedName>
    <definedName name="solver_rel3" localSheetId="0" hidden="1">1</definedName>
    <definedName name="solver_rel4" localSheetId="0" hidden="1">4</definedName>
    <definedName name="solver_rhs1" localSheetId="0" hidden="1">Лист1!$O$3</definedName>
    <definedName name="solver_rhs2" localSheetId="0" hidden="1">Лист1!$O$4</definedName>
    <definedName name="solver_rhs3" localSheetId="0" hidden="1">Лист1!$O$5</definedName>
    <definedName name="solver_rhs4" localSheetId="0" hidden="1">"целое"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" i="1" l="1"/>
  <c r="M5" i="1"/>
  <c r="M4" i="1"/>
  <c r="M3" i="1"/>
</calcChain>
</file>

<file path=xl/sharedStrings.xml><?xml version="1.0" encoding="utf-8"?>
<sst xmlns="http://schemas.openxmlformats.org/spreadsheetml/2006/main" count="29" uniqueCount="28">
  <si>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1,2,3,4</t>
    </r>
    <r>
      <rPr>
        <sz val="11"/>
        <color theme="1"/>
        <rFont val="Calibri"/>
        <family val="2"/>
        <scheme val="minor"/>
      </rPr>
      <t xml:space="preserve"> = процент содержания питательных веществ</t>
    </r>
  </si>
  <si>
    <r>
      <t>C</t>
    </r>
    <r>
      <rPr>
        <vertAlign val="subscript"/>
        <sz val="11"/>
        <color theme="1"/>
        <rFont val="Calibri"/>
        <family val="2"/>
        <charset val="204"/>
        <scheme val="minor"/>
      </rPr>
      <t>1,2,3,4</t>
    </r>
    <r>
      <rPr>
        <sz val="11"/>
        <color theme="1"/>
        <rFont val="Calibri"/>
        <family val="2"/>
        <scheme val="minor"/>
      </rPr>
      <t xml:space="preserve"> = стоимость единицы продукта</t>
    </r>
  </si>
  <si>
    <t>Питательные вещества</t>
  </si>
  <si>
    <t>Требования, % от веса</t>
  </si>
  <si>
    <t>Содержание питательных веществ, %</t>
  </si>
  <si>
    <t>Люцерновая мука</t>
  </si>
  <si>
    <t>Сухая барда</t>
  </si>
  <si>
    <t>Рыбная мука</t>
  </si>
  <si>
    <t>Соевый шрот</t>
  </si>
  <si>
    <t>Белок</t>
  </si>
  <si>
    <t>Жиры</t>
  </si>
  <si>
    <t>Клетчатка</t>
  </si>
  <si>
    <t>Вес</t>
  </si>
  <si>
    <t>не менее 35</t>
  </si>
  <si>
    <t>не менее 1,5</t>
  </si>
  <si>
    <t>не более 8</t>
  </si>
  <si>
    <t>1т</t>
  </si>
  <si>
    <t>Стоимость, руб. за 1 тонну</t>
  </si>
  <si>
    <t>?</t>
  </si>
  <si>
    <t>Ограничения</t>
  </si>
  <si>
    <t>&lt;=</t>
  </si>
  <si>
    <t>&gt;=</t>
  </si>
  <si>
    <t>Переменные</t>
  </si>
  <si>
    <t>x1</t>
  </si>
  <si>
    <t>x2</t>
  </si>
  <si>
    <t>x3</t>
  </si>
  <si>
    <t>x4</t>
  </si>
  <si>
    <t>Целевая функция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</si>
</sst>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60293</xdr:colOff>
      <xdr:row>5</xdr:row>
      <xdr:rowOff>117951</xdr:rowOff>
    </xdr:from>
    <xdr:ext cx="266739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B4E7AEF-6761-65B6-4830-3612C21AB6B7}"/>
                </a:ext>
              </a:extLst>
            </xdr:cNvPr>
            <xdr:cNvSpPr txBox="1"/>
          </xdr:nvSpPr>
          <xdr:spPr>
            <a:xfrm>
              <a:off x="60293" y="1146651"/>
              <a:ext cx="266739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n-US" sz="1100" b="0" i="1">
                      <a:latin typeface="Cambria Math" panose="02040503050406030204" pitchFamily="18" charset="0"/>
                    </a:rPr>
                    <m:t>𝐹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=</m:t>
                  </m:r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𝐶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1</m:t>
                      </m:r>
                    </m:sub>
                  </m:sSub>
                  <m:r>
                    <a:rPr lang="en-US" sz="1100" b="0" i="1">
                      <a:latin typeface="Cambria Math" panose="02040503050406030204" pitchFamily="18" charset="0"/>
                    </a:rPr>
                    <m:t>∗</m:t>
                  </m:r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𝑥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1</m:t>
                      </m:r>
                    </m:sub>
                  </m:sSub>
                  <m:r>
                    <a:rPr lang="en-US" sz="1100" b="0" i="1">
                      <a:latin typeface="Cambria Math" panose="02040503050406030204" pitchFamily="18" charset="0"/>
                    </a:rPr>
                    <m:t>+</m:t>
                  </m:r>
                  <m:sSub>
                    <m:sSubPr>
                      <m:ctrlP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𝐶</m:t>
                      </m:r>
                    </m:e>
                    <m:sub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2</m:t>
                      </m:r>
                    </m:sub>
                  </m:sSub>
                  <m:r>
                    <a:rPr lang="en-US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𝑥</m:t>
                      </m:r>
                    </m:e>
                    <m:sub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2</m:t>
                      </m:r>
                    </m:sub>
                  </m:sSub>
                </m:oMath>
              </a14:m>
              <a:r>
                <a:rPr lang="en-US" sz="1100"/>
                <a:t>+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𝐶</m:t>
                      </m:r>
                    </m:e>
                    <m:sub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3</m:t>
                      </m:r>
                    </m:sub>
                  </m:sSub>
                  <m:r>
                    <a:rPr lang="en-US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𝑥</m:t>
                      </m:r>
                    </m:e>
                    <m:sub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3</m:t>
                      </m:r>
                    </m:sub>
                  </m:sSub>
                  <m:r>
                    <a:rPr lang="ru-RU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𝐶</m:t>
                      </m:r>
                    </m:e>
                    <m:sub>
                      <m:r>
                        <a:rPr lang="ru-RU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4</m:t>
                      </m:r>
                    </m:sub>
                  </m:sSub>
                  <m:r>
                    <a:rPr lang="en-US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𝑥</m:t>
                      </m:r>
                    </m:e>
                    <m:sub>
                      <m:r>
                        <a:rPr lang="ru-RU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4</m:t>
                      </m:r>
                    </m:sub>
                  </m:sSub>
                </m:oMath>
              </a14:m>
              <a:r>
                <a:rPr lang="ru-RU" sz="1100">
                  <a:latin typeface="Calibri" panose="020F0502020204030204" pitchFamily="34" charset="0"/>
                  <a:cs typeface="Calibri" panose="020F0502020204030204" pitchFamily="34" charset="0"/>
                </a:rPr>
                <a:t>→</a:t>
              </a:r>
              <a:r>
                <a:rPr lang="en-US" sz="1100">
                  <a:latin typeface="Calibri" panose="020F0502020204030204" pitchFamily="34" charset="0"/>
                  <a:cs typeface="Calibri" panose="020F0502020204030204" pitchFamily="34" charset="0"/>
                </a:rPr>
                <a:t>min</a:t>
              </a:r>
              <a:endParaRPr lang="ru-RU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B4E7AEF-6761-65B6-4830-3612C21AB6B7}"/>
                </a:ext>
              </a:extLst>
            </xdr:cNvPr>
            <xdr:cNvSpPr txBox="1"/>
          </xdr:nvSpPr>
          <xdr:spPr>
            <a:xfrm>
              <a:off x="60293" y="1146651"/>
              <a:ext cx="266739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𝐹=𝐶_1∗𝑥_1+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𝐶_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∗𝑥_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/>
                <a:t>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𝐶_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∗𝑥_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𝐶_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∗𝑥_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ru-RU" sz="1100">
                  <a:latin typeface="Calibri" panose="020F0502020204030204" pitchFamily="34" charset="0"/>
                  <a:cs typeface="Calibri" panose="020F0502020204030204" pitchFamily="34" charset="0"/>
                </a:rPr>
                <a:t>→</a:t>
              </a:r>
              <a:r>
                <a:rPr lang="en-US" sz="1100">
                  <a:latin typeface="Calibri" panose="020F0502020204030204" pitchFamily="34" charset="0"/>
                  <a:cs typeface="Calibri" panose="020F0502020204030204" pitchFamily="34" charset="0"/>
                </a:rPr>
                <a:t>min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11</xdr:col>
      <xdr:colOff>412718</xdr:colOff>
      <xdr:row>17</xdr:row>
      <xdr:rowOff>117951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0C1B155-7741-8FD4-D156-7AC8D6BCB715}"/>
            </a:ext>
          </a:extLst>
        </xdr:cNvPr>
        <xdr:cNvSpPr txBox="1"/>
      </xdr:nvSpPr>
      <xdr:spPr>
        <a:xfrm>
          <a:off x="8651843" y="347075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0</xdr:col>
      <xdr:colOff>41243</xdr:colOff>
      <xdr:row>7</xdr:row>
      <xdr:rowOff>137001</xdr:rowOff>
    </xdr:from>
    <xdr:ext cx="2151102" cy="76315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30F56299-6ABA-FDCD-9DC7-563989CA66EE}"/>
                </a:ext>
              </a:extLst>
            </xdr:cNvPr>
            <xdr:cNvSpPr txBox="1"/>
          </xdr:nvSpPr>
          <xdr:spPr>
            <a:xfrm>
              <a:off x="41243" y="1546701"/>
              <a:ext cx="2151102" cy="76315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{"/>
                        <m:endChr m:val="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eqArrPr>
                          <m:e>
                            <m:r>
                              <a:rPr lang="ru-RU" sz="1100" b="0" i="1">
                                <a:latin typeface="Cambria Math" panose="02040503050406030204" pitchFamily="18" charset="0"/>
                              </a:rPr>
                              <m:t>17</m:t>
                            </m:r>
                            <m:sSub>
                              <m:sSubPr>
                                <m:ctrlPr>
                                  <a:rPr lang="ru-RU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ru-RU" sz="11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+25</m:t>
                            </m:r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b>
                            </m:s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+60</m:t>
                            </m:r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3</m:t>
                                </m:r>
                              </m:sub>
                            </m:s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+45</m:t>
                            </m:r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4</m:t>
                                </m:r>
                              </m:sub>
                            </m:sSub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≥35</m:t>
                            </m:r>
                          </m:e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  <m:sSub>
                              <m:sSubPr>
                                <m:ctrlPr>
                                  <a:rPr lang="ru-RU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ru-RU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+5</m:t>
                            </m:r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+7</m:t>
                            </m:r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+0,5</m:t>
                            </m:r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4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≥1,5</m:t>
                            </m:r>
                          </m:e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25</m:t>
                            </m:r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+3</m:t>
                            </m:r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+6,5</m:t>
                            </m:r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4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≤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8</m:t>
                            </m:r>
                          </m:e>
                          <m:e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≥0 ;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𝑖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=1,2,3</m:t>
                            </m:r>
                          </m:e>
                        </m:eqArr>
                      </m:e>
                    </m:d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30F56299-6ABA-FDCD-9DC7-563989CA66EE}"/>
                </a:ext>
              </a:extLst>
            </xdr:cNvPr>
            <xdr:cNvSpPr txBox="1"/>
          </xdr:nvSpPr>
          <xdr:spPr>
            <a:xfrm>
              <a:off x="41243" y="1546701"/>
              <a:ext cx="2151102" cy="76315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{</a:t>
              </a:r>
              <a:r>
                <a:rPr lang="en-US" sz="1100" b="0" i="0">
                  <a:latin typeface="Cambria Math" panose="02040503050406030204" pitchFamily="18" charset="0"/>
                </a:rPr>
                <a:t>█(</a:t>
              </a:r>
              <a:r>
                <a:rPr lang="ru-RU" sz="1100" b="0" i="0">
                  <a:latin typeface="Cambria Math" panose="02040503050406030204" pitchFamily="18" charset="0"/>
                </a:rPr>
                <a:t>17</a:t>
              </a:r>
              <a:r>
                <a:rPr lang="en-US" sz="1100" b="0" i="0">
                  <a:latin typeface="Cambria Math" panose="02040503050406030204" pitchFamily="18" charset="0"/>
                </a:rPr>
                <a:t>𝑥</a:t>
              </a:r>
              <a:r>
                <a:rPr lang="ru-RU" sz="1100" b="0" i="0">
                  <a:latin typeface="Cambria Math" panose="02040503050406030204" pitchFamily="18" charset="0"/>
                </a:rPr>
                <a:t>_1</a:t>
              </a:r>
              <a:r>
                <a:rPr lang="en-US" sz="1100" b="0" i="0">
                  <a:latin typeface="Cambria Math" panose="02040503050406030204" pitchFamily="18" charset="0"/>
                </a:rPr>
                <a:t>+25𝑥_2+60𝑥_3+45𝑥_4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≥35@</a:t>
              </a:r>
              <a:r>
                <a:rPr lang="en-US" sz="1100" b="0" i="0">
                  <a:latin typeface="Cambria Math" panose="02040503050406030204" pitchFamily="18" charset="0"/>
                </a:rPr>
                <a:t>2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_1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+5𝑥_2+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7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𝑥_3+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0,5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𝑥_4≥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1,5@25𝑥_1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𝑥_2+𝑥_3+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6,5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𝑥_4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≤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8@𝑥_𝑖≥0 ;𝑖=1,2,3)┤</a:t>
              </a:r>
              <a:endParaRPr lang="ru-RU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W9"/>
  <sheetViews>
    <sheetView tabSelected="1" workbookViewId="0">
      <selection activeCell="N12" sqref="N12"/>
    </sheetView>
  </sheetViews>
  <sheetFormatPr defaultRowHeight="15" x14ac:dyDescent="0.25"/>
  <cols>
    <col min="1" max="1" width="32.140625" bestFit="1" customWidth="1"/>
    <col min="5" max="5" width="14.140625" customWidth="1"/>
    <col min="6" max="6" width="12.42578125" customWidth="1"/>
    <col min="7" max="7" width="12.7109375" customWidth="1"/>
    <col min="14" max="14" width="13.140625" bestFit="1" customWidth="1"/>
  </cols>
  <sheetData>
    <row r="2" spans="1:23" x14ac:dyDescent="0.25">
      <c r="M2" t="s">
        <v>19</v>
      </c>
      <c r="R2" t="s">
        <v>22</v>
      </c>
      <c r="W2" t="s">
        <v>27</v>
      </c>
    </row>
    <row r="3" spans="1:23" ht="18" x14ac:dyDescent="0.35">
      <c r="A3" t="s">
        <v>1</v>
      </c>
      <c r="E3" s="1" t="s">
        <v>2</v>
      </c>
      <c r="F3" s="2" t="s">
        <v>3</v>
      </c>
      <c r="G3" s="3" t="s">
        <v>4</v>
      </c>
      <c r="H3" s="3"/>
      <c r="I3" s="3"/>
      <c r="J3" s="3"/>
      <c r="M3">
        <f>SUMPRODUCT(G5:J5,R4:U4)</f>
        <v>60</v>
      </c>
      <c r="N3" t="s">
        <v>21</v>
      </c>
      <c r="O3">
        <v>35</v>
      </c>
      <c r="R3" t="s">
        <v>23</v>
      </c>
      <c r="S3" t="s">
        <v>24</v>
      </c>
      <c r="T3" t="s">
        <v>25</v>
      </c>
      <c r="U3" t="s">
        <v>26</v>
      </c>
      <c r="W3">
        <f>SUMPRODUCT(G9:J9,R4:U4)</f>
        <v>1500</v>
      </c>
    </row>
    <row r="4" spans="1:23" ht="30" x14ac:dyDescent="0.35">
      <c r="A4" t="s">
        <v>0</v>
      </c>
      <c r="E4" s="1"/>
      <c r="F4" s="2"/>
      <c r="G4" s="4" t="s">
        <v>5</v>
      </c>
      <c r="H4" s="4" t="s">
        <v>6</v>
      </c>
      <c r="I4" s="4" t="s">
        <v>7</v>
      </c>
      <c r="J4" s="4" t="s">
        <v>8</v>
      </c>
      <c r="M4">
        <f>SUMPRODUCT(G6:J6,R4:U4)</f>
        <v>7</v>
      </c>
      <c r="N4" t="s">
        <v>21</v>
      </c>
      <c r="O4">
        <v>1.5</v>
      </c>
      <c r="R4" s="6">
        <v>0</v>
      </c>
      <c r="S4" s="6">
        <v>0</v>
      </c>
      <c r="T4" s="6">
        <v>1</v>
      </c>
      <c r="U4" s="6">
        <v>0</v>
      </c>
    </row>
    <row r="5" spans="1:23" x14ac:dyDescent="0.25">
      <c r="E5" s="3" t="s">
        <v>9</v>
      </c>
      <c r="F5" s="3" t="s">
        <v>13</v>
      </c>
      <c r="G5" s="3">
        <v>17</v>
      </c>
      <c r="H5" s="3">
        <v>25</v>
      </c>
      <c r="I5" s="3">
        <v>60</v>
      </c>
      <c r="J5" s="3">
        <v>45</v>
      </c>
      <c r="M5">
        <f>SUMPRODUCT(G7:J7,R4:U4)</f>
        <v>1</v>
      </c>
      <c r="N5" t="s">
        <v>20</v>
      </c>
      <c r="O5">
        <v>8</v>
      </c>
    </row>
    <row r="6" spans="1:23" x14ac:dyDescent="0.25">
      <c r="E6" s="3" t="s">
        <v>10</v>
      </c>
      <c r="F6" s="3" t="s">
        <v>14</v>
      </c>
      <c r="G6" s="3">
        <v>2</v>
      </c>
      <c r="H6" s="3">
        <v>5</v>
      </c>
      <c r="I6" s="3">
        <v>7</v>
      </c>
      <c r="J6" s="3">
        <v>0.5</v>
      </c>
    </row>
    <row r="7" spans="1:23" x14ac:dyDescent="0.25">
      <c r="E7" s="3" t="s">
        <v>11</v>
      </c>
      <c r="F7" s="3" t="s">
        <v>15</v>
      </c>
      <c r="G7" s="3">
        <v>25</v>
      </c>
      <c r="H7" s="3">
        <v>3</v>
      </c>
      <c r="I7" s="3">
        <v>1</v>
      </c>
      <c r="J7" s="3">
        <v>6.5</v>
      </c>
    </row>
    <row r="8" spans="1:23" x14ac:dyDescent="0.25">
      <c r="E8" s="3" t="s">
        <v>12</v>
      </c>
      <c r="F8" s="3" t="s">
        <v>16</v>
      </c>
      <c r="G8" s="3">
        <v>1</v>
      </c>
      <c r="H8" s="3">
        <v>1</v>
      </c>
      <c r="I8" s="3">
        <v>1</v>
      </c>
      <c r="J8" s="3">
        <v>1</v>
      </c>
    </row>
    <row r="9" spans="1:23" ht="33" customHeight="1" x14ac:dyDescent="0.25">
      <c r="E9" s="4" t="s">
        <v>17</v>
      </c>
      <c r="F9" s="5" t="s">
        <v>18</v>
      </c>
      <c r="G9" s="5">
        <v>700</v>
      </c>
      <c r="H9" s="5">
        <v>900</v>
      </c>
      <c r="I9" s="5">
        <v>1500</v>
      </c>
      <c r="J9" s="5">
        <v>1000</v>
      </c>
    </row>
  </sheetData>
  <mergeCells count="2">
    <mergeCell ref="E3:E4"/>
    <mergeCell ref="F3:F4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каб 52</dc:creator>
  <cp:lastModifiedBy>Студент каб 52</cp:lastModifiedBy>
  <dcterms:created xsi:type="dcterms:W3CDTF">2015-06-05T18:19:34Z</dcterms:created>
  <dcterms:modified xsi:type="dcterms:W3CDTF">2026-01-29T10:07:12Z</dcterms:modified>
</cp:coreProperties>
</file>