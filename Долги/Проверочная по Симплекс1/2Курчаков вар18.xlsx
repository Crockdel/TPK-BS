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/>
  <xr:revisionPtr revIDLastSave="0" documentId="13_ncr:1_{8533EEE2-DDF0-43DB-84AC-BC22290ECA52}" xr6:coauthVersionLast="47" xr6:coauthVersionMax="47" xr10:uidLastSave="{00000000-0000-0000-0000-000000000000}"/>
  <bookViews>
    <workbookView xWindow="-120" yWindow="330" windowWidth="29040" windowHeight="15390" xr2:uid="{00000000-000D-0000-FFFF-FFFF00000000}"/>
  </bookViews>
  <sheets>
    <sheet name="Симпликс" sheetId="1" r:id="rId1"/>
    <sheet name="Поиск решения" sheetId="2" r:id="rId2"/>
  </sheets>
  <definedNames>
    <definedName name="solver_adj" localSheetId="1" hidden="1">'Поиск решения'!$K$3:$M$3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'Поиск решения'!$G$2</definedName>
    <definedName name="solver_lhs2" localSheetId="1" hidden="1">'Поиск решения'!$G$3</definedName>
    <definedName name="solver_lhs3" localSheetId="1" hidden="1">'Поиск решения'!$G$4</definedName>
    <definedName name="solver_lhs4" localSheetId="1" hidden="1">'Поиск решения'!$G$5</definedName>
    <definedName name="solver_lhs5" localSheetId="1" hidden="1">'Поиск решения'!$K$3:$M$3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'Поиск решения'!$O$2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1</definedName>
    <definedName name="solver_rel3" localSheetId="1" hidden="1">3</definedName>
    <definedName name="solver_rel4" localSheetId="1" hidden="1">3</definedName>
    <definedName name="solver_rel5" localSheetId="1" hidden="1">4</definedName>
    <definedName name="solver_rhs1" localSheetId="1" hidden="1">'Поиск решения'!$I$2</definedName>
    <definedName name="solver_rhs2" localSheetId="1" hidden="1">'Поиск решения'!$I$3</definedName>
    <definedName name="solver_rhs3" localSheetId="1" hidden="1">'Поиск решения'!$I$4</definedName>
    <definedName name="solver_rhs4" localSheetId="1" hidden="1">'Поиск решения'!$I$5</definedName>
    <definedName name="solver_rhs5" localSheetId="1" hidden="1">"целое"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I8" i="1"/>
  <c r="G5" i="2"/>
  <c r="O2" i="2"/>
  <c r="K7" i="1"/>
  <c r="P3" i="1"/>
  <c r="K13" i="1"/>
  <c r="K12" i="1"/>
  <c r="I12" i="1"/>
  <c r="K10" i="1"/>
  <c r="I10" i="1"/>
  <c r="L7" i="1"/>
  <c r="K11" i="1"/>
  <c r="P5" i="1"/>
  <c r="P4" i="1"/>
  <c r="L11" i="1"/>
  <c r="M11" i="1"/>
  <c r="O11" i="1"/>
  <c r="P7" i="1"/>
  <c r="L10" i="1"/>
  <c r="M10" i="1"/>
  <c r="N10" i="1"/>
  <c r="O10" i="1"/>
  <c r="L9" i="1"/>
  <c r="L13" i="1" s="1"/>
  <c r="M9" i="1"/>
  <c r="M13" i="1" s="1"/>
  <c r="N9" i="1"/>
  <c r="N13" i="1" s="1"/>
  <c r="O9" i="1"/>
  <c r="O13" i="1" s="1"/>
  <c r="K9" i="1"/>
  <c r="I9" i="1"/>
  <c r="I13" i="1" s="1"/>
  <c r="L8" i="1"/>
  <c r="L12" i="1" s="1"/>
  <c r="M8" i="1"/>
  <c r="N8" i="1"/>
  <c r="N12" i="1" s="1"/>
  <c r="O8" i="1"/>
  <c r="M7" i="1"/>
  <c r="M12" i="1" s="1"/>
  <c r="N7" i="1"/>
  <c r="N11" i="1" s="1"/>
  <c r="O7" i="1"/>
  <c r="O12" i="1" s="1"/>
  <c r="G4" i="2"/>
  <c r="G3" i="2"/>
  <c r="G2" i="2"/>
</calcChain>
</file>

<file path=xl/sharedStrings.xml><?xml version="1.0" encoding="utf-8"?>
<sst xmlns="http://schemas.openxmlformats.org/spreadsheetml/2006/main" count="70" uniqueCount="38">
  <si>
    <t>Поле</t>
  </si>
  <si>
    <t>Размер поля</t>
  </si>
  <si>
    <t>Культуры</t>
  </si>
  <si>
    <t>Картофель</t>
  </si>
  <si>
    <t>Морковь</t>
  </si>
  <si>
    <t>Свекла</t>
  </si>
  <si>
    <t>ǀ</t>
  </si>
  <si>
    <t>ǁ</t>
  </si>
  <si>
    <t>План по культурам</t>
  </si>
  <si>
    <t>Определить</t>
  </si>
  <si>
    <t>План</t>
  </si>
  <si>
    <t>Базисные переменные</t>
  </si>
  <si>
    <t>Значения базисных переменных</t>
  </si>
  <si>
    <r>
      <t>Значения коэффициентов, a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</si>
  <si>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Θ, min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</si>
  <si>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</si>
  <si>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</si>
  <si>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</si>
  <si>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</si>
  <si>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</si>
  <si>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t>I</t>
  </si>
  <si>
    <t>Индексная строка</t>
  </si>
  <si>
    <t>II</t>
  </si>
  <si>
    <t>=</t>
  </si>
  <si>
    <t>F</t>
  </si>
  <si>
    <t>тыс.руб.</t>
  </si>
  <si>
    <t>ед.</t>
  </si>
  <si>
    <t>м2</t>
  </si>
  <si>
    <t>Недоиспользовано полей</t>
  </si>
  <si>
    <t>Ограничения</t>
  </si>
  <si>
    <t>Переменные</t>
  </si>
  <si>
    <t>Целевая функция</t>
  </si>
  <si>
    <t>&lt;=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</si>
  <si>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</si>
  <si>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t>&gt;=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</si>
  <si>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6</t>
    </r>
  </si>
  <si>
    <t>-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</si>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</sst>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4"/>
      <color theme="1"/>
      <name val="Times New Roman"/>
      <family val="1"/>
      <charset val="204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6568</xdr:colOff>
      <xdr:row>9</xdr:row>
      <xdr:rowOff>303717</xdr:rowOff>
    </xdr:from>
    <xdr:to>
      <xdr:col>2</xdr:col>
      <xdr:colOff>560293</xdr:colOff>
      <xdr:row>13</xdr:row>
      <xdr:rowOff>132433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" y="3250864"/>
          <a:ext cx="2088931" cy="781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26275</xdr:rowOff>
    </xdr:from>
    <xdr:to>
      <xdr:col>2</xdr:col>
      <xdr:colOff>590878</xdr:colOff>
      <xdr:row>9</xdr:row>
      <xdr:rowOff>16750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1275"/>
          <a:ext cx="2128016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111673</xdr:colOff>
      <xdr:row>6</xdr:row>
      <xdr:rowOff>19706</xdr:rowOff>
    </xdr:from>
    <xdr:to>
      <xdr:col>2</xdr:col>
      <xdr:colOff>377059</xdr:colOff>
      <xdr:row>7</xdr:row>
      <xdr:rowOff>10181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983" y="1543706"/>
          <a:ext cx="1106214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221145</xdr:colOff>
      <xdr:row>15</xdr:row>
      <xdr:rowOff>169381</xdr:rowOff>
    </xdr:from>
    <xdr:to>
      <xdr:col>6</xdr:col>
      <xdr:colOff>554520</xdr:colOff>
      <xdr:row>17</xdr:row>
      <xdr:rowOff>55081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F4FD27B4-94AE-2274-AE6A-26848AE9D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7370" y="9894406"/>
          <a:ext cx="3333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124239</xdr:colOff>
      <xdr:row>17</xdr:row>
      <xdr:rowOff>173935</xdr:rowOff>
    </xdr:from>
    <xdr:to>
      <xdr:col>6</xdr:col>
      <xdr:colOff>457614</xdr:colOff>
      <xdr:row>19</xdr:row>
      <xdr:rowOff>9939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C840E421-544D-DD88-6046-D8C8427D4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7364" y="4993585"/>
          <a:ext cx="333375" cy="264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33617</xdr:colOff>
      <xdr:row>27</xdr:row>
      <xdr:rowOff>134471</xdr:rowOff>
    </xdr:from>
    <xdr:to>
      <xdr:col>3</xdr:col>
      <xdr:colOff>557492</xdr:colOff>
      <xdr:row>28</xdr:row>
      <xdr:rowOff>191621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7" y="7317442"/>
          <a:ext cx="2787463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99391</xdr:colOff>
      <xdr:row>5</xdr:row>
      <xdr:rowOff>107673</xdr:rowOff>
    </xdr:from>
    <xdr:to>
      <xdr:col>7</xdr:col>
      <xdr:colOff>547066</xdr:colOff>
      <xdr:row>5</xdr:row>
      <xdr:rowOff>317223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B8AA08D-1E5E-49BB-ACB5-BBCA26CED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6715" y="2035085"/>
          <a:ext cx="4476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99391</xdr:colOff>
      <xdr:row>9</xdr:row>
      <xdr:rowOff>140804</xdr:rowOff>
    </xdr:from>
    <xdr:to>
      <xdr:col>7</xdr:col>
      <xdr:colOff>547066</xdr:colOff>
      <xdr:row>9</xdr:row>
      <xdr:rowOff>350354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84E59B0E-ECF7-4ADD-8455-B7281B8A5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1191" y="2941154"/>
          <a:ext cx="4476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57979</xdr:colOff>
      <xdr:row>13</xdr:row>
      <xdr:rowOff>99391</xdr:rowOff>
    </xdr:from>
    <xdr:to>
      <xdr:col>7</xdr:col>
      <xdr:colOff>505654</xdr:colOff>
      <xdr:row>13</xdr:row>
      <xdr:rowOff>308941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621F069E-FF1A-4F5F-992C-D8DA7F434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0175" y="9922565"/>
          <a:ext cx="4476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134470</xdr:rowOff>
    </xdr:from>
    <xdr:to>
      <xdr:col>3</xdr:col>
      <xdr:colOff>428625</xdr:colOff>
      <xdr:row>19</xdr:row>
      <xdr:rowOff>20170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25EB7590-1B54-3C2A-98CC-75076518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9441"/>
          <a:ext cx="2692213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2</xdr:col>
      <xdr:colOff>609600</xdr:colOff>
      <xdr:row>22</xdr:row>
      <xdr:rowOff>180975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975B1484-0B5B-88DD-56DC-5F3297F1F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5425"/>
          <a:ext cx="21431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</xdr:row>
      <xdr:rowOff>104775</xdr:rowOff>
    </xdr:from>
    <xdr:to>
      <xdr:col>3</xdr:col>
      <xdr:colOff>581025</xdr:colOff>
      <xdr:row>26</xdr:row>
      <xdr:rowOff>19050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60AE67A8-F7B5-EDF8-05BD-2AA0E1C48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0"/>
          <a:ext cx="283845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6569</xdr:colOff>
      <xdr:row>10</xdr:row>
      <xdr:rowOff>45983</xdr:rowOff>
    </xdr:from>
    <xdr:to>
      <xdr:col>2</xdr:col>
      <xdr:colOff>254219</xdr:colOff>
      <xdr:row>13</xdr:row>
      <xdr:rowOff>141233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01D9044-379D-48D5-B90F-4BDA474D0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9" y="3398783"/>
          <a:ext cx="17811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26275</xdr:rowOff>
    </xdr:from>
    <xdr:to>
      <xdr:col>2</xdr:col>
      <xdr:colOff>590878</xdr:colOff>
      <xdr:row>9</xdr:row>
      <xdr:rowOff>16750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4340A49-6BB2-414D-B7DE-2CC53EC5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7575"/>
          <a:ext cx="2124403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111673</xdr:colOff>
      <xdr:row>6</xdr:row>
      <xdr:rowOff>19706</xdr:rowOff>
    </xdr:from>
    <xdr:to>
      <xdr:col>2</xdr:col>
      <xdr:colOff>377059</xdr:colOff>
      <xdr:row>7</xdr:row>
      <xdr:rowOff>10181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E83C4C8-5796-40E7-AFA8-6D75C5AC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998" y="2343806"/>
          <a:ext cx="1103586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zoomScaleNormal="100" workbookViewId="0">
      <selection activeCell="V8" sqref="V8"/>
    </sheetView>
  </sheetViews>
  <sheetFormatPr defaultRowHeight="15" x14ac:dyDescent="0.25"/>
  <cols>
    <col min="1" max="1" width="10.42578125" customWidth="1"/>
    <col min="2" max="2" width="12.5703125" bestFit="1" customWidth="1"/>
    <col min="3" max="3" width="10.85546875" bestFit="1" customWidth="1"/>
    <col min="7" max="7" width="10.85546875" customWidth="1"/>
    <col min="9" max="9" width="9.85546875" customWidth="1"/>
    <col min="14" max="14" width="7.7109375" customWidth="1"/>
    <col min="15" max="15" width="9.5703125" customWidth="1"/>
  </cols>
  <sheetData>
    <row r="1" spans="1:16" ht="18" x14ac:dyDescent="0.25">
      <c r="A1" s="16" t="s">
        <v>0</v>
      </c>
      <c r="B1" s="16" t="s">
        <v>1</v>
      </c>
      <c r="C1" s="16" t="s">
        <v>2</v>
      </c>
      <c r="D1" s="16"/>
      <c r="E1" s="16"/>
      <c r="G1" s="16" t="s">
        <v>10</v>
      </c>
      <c r="H1" s="17" t="s">
        <v>11</v>
      </c>
      <c r="I1" s="17" t="s">
        <v>12</v>
      </c>
      <c r="J1" s="16" t="s">
        <v>13</v>
      </c>
      <c r="K1" s="16"/>
      <c r="L1" s="16"/>
      <c r="M1" s="16"/>
      <c r="N1" s="16"/>
      <c r="O1" s="16"/>
      <c r="P1" s="16" t="s">
        <v>14</v>
      </c>
    </row>
    <row r="2" spans="1:16" ht="54" customHeight="1" x14ac:dyDescent="0.25">
      <c r="A2" s="16"/>
      <c r="B2" s="16"/>
      <c r="C2" s="1" t="s">
        <v>3</v>
      </c>
      <c r="D2" s="1" t="s">
        <v>4</v>
      </c>
      <c r="E2" s="1" t="s">
        <v>5</v>
      </c>
      <c r="G2" s="16"/>
      <c r="H2" s="17"/>
      <c r="I2" s="17"/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35</v>
      </c>
      <c r="P2" s="16"/>
    </row>
    <row r="3" spans="1:16" ht="18" x14ac:dyDescent="0.25">
      <c r="A3" s="2" t="s">
        <v>6</v>
      </c>
      <c r="B3" s="1">
        <v>500</v>
      </c>
      <c r="C3" s="1">
        <v>87</v>
      </c>
      <c r="D3" s="1">
        <v>140</v>
      </c>
      <c r="E3" s="1">
        <v>62</v>
      </c>
      <c r="G3" s="16" t="s">
        <v>20</v>
      </c>
      <c r="H3" s="4" t="s">
        <v>18</v>
      </c>
      <c r="I3" s="5">
        <v>500</v>
      </c>
      <c r="J3" s="6">
        <v>87</v>
      </c>
      <c r="K3" s="1">
        <v>140</v>
      </c>
      <c r="L3" s="1">
        <v>62</v>
      </c>
      <c r="M3" s="5">
        <v>1</v>
      </c>
      <c r="N3" s="5">
        <v>0</v>
      </c>
      <c r="O3" s="5">
        <v>0</v>
      </c>
      <c r="P3" s="4">
        <f>I3/J3</f>
        <v>5.7471264367816088</v>
      </c>
    </row>
    <row r="4" spans="1:16" ht="18" customHeight="1" x14ac:dyDescent="0.25">
      <c r="A4" s="2" t="s">
        <v>7</v>
      </c>
      <c r="B4" s="1">
        <v>300</v>
      </c>
      <c r="C4" s="1">
        <v>35</v>
      </c>
      <c r="D4" s="1">
        <v>120</v>
      </c>
      <c r="E4" s="1">
        <v>53</v>
      </c>
      <c r="G4" s="16"/>
      <c r="H4" s="1" t="s">
        <v>19</v>
      </c>
      <c r="I4" s="5">
        <v>300</v>
      </c>
      <c r="J4" s="1">
        <v>35</v>
      </c>
      <c r="K4" s="1">
        <v>120</v>
      </c>
      <c r="L4" s="1">
        <v>53</v>
      </c>
      <c r="M4" s="5">
        <v>0</v>
      </c>
      <c r="N4" s="5">
        <v>1</v>
      </c>
      <c r="O4" s="1">
        <v>0</v>
      </c>
      <c r="P4" s="1">
        <f>I4/J4</f>
        <v>8.5714285714285712</v>
      </c>
    </row>
    <row r="5" spans="1:16" ht="45" x14ac:dyDescent="0.25">
      <c r="A5" s="3" t="s">
        <v>8</v>
      </c>
      <c r="B5" s="1"/>
      <c r="C5" s="1">
        <v>60</v>
      </c>
      <c r="D5" s="1">
        <v>50</v>
      </c>
      <c r="E5" s="1">
        <v>25</v>
      </c>
      <c r="G5" s="16"/>
      <c r="H5" s="1" t="s">
        <v>35</v>
      </c>
      <c r="I5" s="5">
        <v>-60</v>
      </c>
      <c r="J5" s="1">
        <v>-1</v>
      </c>
      <c r="K5" s="1">
        <v>0</v>
      </c>
      <c r="L5" s="1">
        <v>0</v>
      </c>
      <c r="M5" s="5">
        <v>0</v>
      </c>
      <c r="N5" s="5">
        <v>0</v>
      </c>
      <c r="O5" s="1">
        <v>1</v>
      </c>
      <c r="P5" s="1">
        <f>I5/J5</f>
        <v>60</v>
      </c>
    </row>
    <row r="6" spans="1:16" ht="30" x14ac:dyDescent="0.25">
      <c r="G6" s="3" t="s">
        <v>21</v>
      </c>
      <c r="H6" s="1"/>
      <c r="I6" s="5">
        <v>0</v>
      </c>
      <c r="J6" s="10">
        <v>-60</v>
      </c>
      <c r="K6" s="5">
        <v>-50</v>
      </c>
      <c r="L6" s="5">
        <v>-25</v>
      </c>
      <c r="M6" s="5">
        <v>0</v>
      </c>
      <c r="N6" s="5">
        <v>0</v>
      </c>
      <c r="O6" s="5">
        <v>0</v>
      </c>
      <c r="P6" s="1"/>
    </row>
    <row r="7" spans="1:16" ht="18" x14ac:dyDescent="0.25">
      <c r="A7" t="s">
        <v>9</v>
      </c>
      <c r="G7" s="16" t="s">
        <v>22</v>
      </c>
      <c r="H7" s="4" t="s">
        <v>15</v>
      </c>
      <c r="I7" s="8">
        <v>5.7471259999999997</v>
      </c>
      <c r="J7" s="14">
        <v>1</v>
      </c>
      <c r="K7" s="8">
        <f>K3/$J$3</f>
        <v>1.6091954022988506</v>
      </c>
      <c r="L7" s="8">
        <f>L3/$J$3</f>
        <v>0.71264367816091956</v>
      </c>
      <c r="M7" s="8">
        <f>M3/$J$3</f>
        <v>1.1494252873563218E-2</v>
      </c>
      <c r="N7" s="8">
        <f>N3/$J$3</f>
        <v>0</v>
      </c>
      <c r="O7" s="8">
        <f>O3/$J$3</f>
        <v>0</v>
      </c>
      <c r="P7" s="7">
        <f>I7/J7</f>
        <v>5.7471259999999997</v>
      </c>
    </row>
    <row r="8" spans="1:16" ht="18" customHeight="1" x14ac:dyDescent="0.25">
      <c r="G8" s="16"/>
      <c r="H8" s="1" t="s">
        <v>19</v>
      </c>
      <c r="I8" s="8">
        <f>I4-(I3*J4)/J3</f>
        <v>98.850574712643692</v>
      </c>
      <c r="J8" s="11">
        <v>0</v>
      </c>
      <c r="K8" s="8">
        <f>K4-(K3*$J$4)/$J$3</f>
        <v>63.678160919540232</v>
      </c>
      <c r="L8" s="8">
        <f>L4-(L3*$J$4)/$J$3</f>
        <v>28.057471264367816</v>
      </c>
      <c r="M8" s="8">
        <f>M4-(M3*$J$4)/$J$3</f>
        <v>-0.40229885057471265</v>
      </c>
      <c r="N8" s="8">
        <f>N4-(N3*$J$4)/$J$3</f>
        <v>1</v>
      </c>
      <c r="O8" s="8">
        <f>O4-(O3*$J$4)/$J$3</f>
        <v>0</v>
      </c>
      <c r="P8" s="8" t="s">
        <v>36</v>
      </c>
    </row>
    <row r="9" spans="1:16" ht="18" x14ac:dyDescent="0.25">
      <c r="G9" s="16"/>
      <c r="H9" s="1" t="s">
        <v>35</v>
      </c>
      <c r="I9" s="8">
        <f>I5-(I3*J5)/J3</f>
        <v>-54.252873563218394</v>
      </c>
      <c r="J9" s="8">
        <v>0</v>
      </c>
      <c r="K9" s="11">
        <f>K5-(K3*$J$5)/$J$3</f>
        <v>1.6091954022988506</v>
      </c>
      <c r="L9" s="11">
        <f>L5-(L3*$J$5)/$J$3</f>
        <v>0.71264367816091956</v>
      </c>
      <c r="M9" s="11">
        <f>M5-(M3*$J$5)/$J$3</f>
        <v>1.1494252873563218E-2</v>
      </c>
      <c r="N9" s="11">
        <f>N5-(N3*$J$5)/$J$3</f>
        <v>0</v>
      </c>
      <c r="O9" s="11">
        <f>O5-(O3*$J$5)/$J$3</f>
        <v>1</v>
      </c>
      <c r="P9" s="8" t="s">
        <v>36</v>
      </c>
    </row>
    <row r="10" spans="1:16" ht="30" x14ac:dyDescent="0.25">
      <c r="G10" s="9" t="s">
        <v>21</v>
      </c>
      <c r="H10" s="8"/>
      <c r="I10" s="8">
        <f>I6-(I3*J6)/J3</f>
        <v>344.82758620689657</v>
      </c>
      <c r="J10" s="15">
        <v>0</v>
      </c>
      <c r="K10" s="8">
        <f>K6-(K3*$J$6)/$J$3</f>
        <v>46.551724137931032</v>
      </c>
      <c r="L10" s="8">
        <f>L6-(L3*$J$6)/$J$3</f>
        <v>17.758620689655174</v>
      </c>
      <c r="M10" s="8">
        <f>M6-(M3*$J$6)/$J$3</f>
        <v>0.68965517241379315</v>
      </c>
      <c r="N10" s="8">
        <f>N6-(N3*$J$6)/$J$3</f>
        <v>0</v>
      </c>
      <c r="O10" s="8">
        <f>O6-(O3*$J$6)/$J$3</f>
        <v>0</v>
      </c>
      <c r="P10" s="8"/>
    </row>
    <row r="11" spans="1:16" ht="18" x14ac:dyDescent="0.25">
      <c r="G11" s="16" t="s">
        <v>37</v>
      </c>
      <c r="H11" s="1" t="s">
        <v>15</v>
      </c>
      <c r="I11" s="8">
        <v>5.7471300000000003</v>
      </c>
      <c r="J11" s="11">
        <v>1</v>
      </c>
      <c r="K11" s="8">
        <f>K7/$J$7</f>
        <v>1.6091954022988506</v>
      </c>
      <c r="L11" s="8">
        <f>L7/$J$7</f>
        <v>0.71264367816091956</v>
      </c>
      <c r="M11" s="8">
        <f>M7/$J$7</f>
        <v>1.1494252873563218E-2</v>
      </c>
      <c r="N11" s="8">
        <f>N7/$J$7</f>
        <v>0</v>
      </c>
      <c r="O11" s="8">
        <f>O7/$J$7</f>
        <v>0</v>
      </c>
      <c r="P11" s="11"/>
    </row>
    <row r="12" spans="1:16" ht="18" x14ac:dyDescent="0.25">
      <c r="G12" s="16"/>
      <c r="H12" s="1" t="s">
        <v>19</v>
      </c>
      <c r="I12" s="8">
        <f>I8-(I7*J8)/J7</f>
        <v>98.850574712643692</v>
      </c>
      <c r="J12" s="11">
        <v>0</v>
      </c>
      <c r="K12" s="8">
        <f>K8-(K7*$J$8)/$J$7</f>
        <v>63.678160919540232</v>
      </c>
      <c r="L12" s="8">
        <f>L8-(L7*$J$8)/$J$7</f>
        <v>28.057471264367816</v>
      </c>
      <c r="M12" s="8">
        <f>M8-(M7*$J$8)/$J$7</f>
        <v>-0.40229885057471265</v>
      </c>
      <c r="N12" s="8">
        <f>N8-(N7*$J$8)/$J$7</f>
        <v>1</v>
      </c>
      <c r="O12" s="8">
        <f>O8-(O7*$J$8)/$J$7</f>
        <v>0</v>
      </c>
      <c r="P12" s="8"/>
    </row>
    <row r="13" spans="1:16" ht="18" x14ac:dyDescent="0.25">
      <c r="G13" s="16"/>
      <c r="H13" s="1" t="s">
        <v>35</v>
      </c>
      <c r="I13" s="8">
        <f>I9-(I7*J9)/J7</f>
        <v>-54.252873563218394</v>
      </c>
      <c r="J13" s="8">
        <v>0</v>
      </c>
      <c r="K13" s="11">
        <f>K9-(K7*$J$9)/$J$7</f>
        <v>1.6091954022988506</v>
      </c>
      <c r="L13" s="11">
        <f>L9-(L7*$J$9)/$J$7</f>
        <v>0.71264367816091956</v>
      </c>
      <c r="M13" s="11">
        <f>M9-(M7*$J$9)/$J$7</f>
        <v>1.1494252873563218E-2</v>
      </c>
      <c r="N13" s="11">
        <f>N9-(N7*$J$9)/$J$7</f>
        <v>0</v>
      </c>
      <c r="O13" s="11">
        <f>O9-(O7*$J$9)/$J$7</f>
        <v>1</v>
      </c>
      <c r="P13" s="8"/>
    </row>
    <row r="14" spans="1:16" ht="30" x14ac:dyDescent="0.25">
      <c r="G14" s="9" t="s">
        <v>21</v>
      </c>
      <c r="H14" s="8"/>
      <c r="I14" s="8"/>
      <c r="J14" s="11">
        <v>0</v>
      </c>
      <c r="K14" s="8"/>
      <c r="L14" s="8"/>
      <c r="M14" s="8"/>
      <c r="N14" s="8"/>
      <c r="O14" s="8"/>
      <c r="P14" s="8"/>
    </row>
    <row r="17" spans="7:17" x14ac:dyDescent="0.25">
      <c r="H17" t="s">
        <v>23</v>
      </c>
    </row>
    <row r="19" spans="7:17" ht="18.75" x14ac:dyDescent="0.25">
      <c r="G19" s="12" t="s">
        <v>24</v>
      </c>
      <c r="H19" t="s">
        <v>23</v>
      </c>
      <c r="J19" t="s">
        <v>25</v>
      </c>
    </row>
    <row r="21" spans="7:17" x14ac:dyDescent="0.25">
      <c r="G21" t="s">
        <v>3</v>
      </c>
      <c r="I21" t="s">
        <v>26</v>
      </c>
    </row>
    <row r="22" spans="7:17" x14ac:dyDescent="0.25">
      <c r="G22" t="s">
        <v>4</v>
      </c>
      <c r="I22" t="s">
        <v>26</v>
      </c>
    </row>
    <row r="23" spans="7:17" x14ac:dyDescent="0.25">
      <c r="G23" s="13" t="s">
        <v>5</v>
      </c>
      <c r="I23" t="s">
        <v>26</v>
      </c>
    </row>
    <row r="25" spans="7:17" x14ac:dyDescent="0.25">
      <c r="G25" t="s">
        <v>28</v>
      </c>
      <c r="L25" t="s">
        <v>27</v>
      </c>
    </row>
    <row r="26" spans="7:17" ht="54.75" customHeight="1" x14ac:dyDescent="0.25"/>
    <row r="28" spans="7:17" ht="15" customHeight="1" x14ac:dyDescent="0.25"/>
    <row r="29" spans="7:17" x14ac:dyDescent="0.25">
      <c r="Q29" s="13"/>
    </row>
  </sheetData>
  <mergeCells count="11">
    <mergeCell ref="C1:E1"/>
    <mergeCell ref="A1:A2"/>
    <mergeCell ref="B1:B2"/>
    <mergeCell ref="G11:G13"/>
    <mergeCell ref="G7:G9"/>
    <mergeCell ref="P1:P2"/>
    <mergeCell ref="G3:G5"/>
    <mergeCell ref="G1:G2"/>
    <mergeCell ref="H1:H2"/>
    <mergeCell ref="I1:I2"/>
    <mergeCell ref="J1:O1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zoomScale="85" zoomScaleNormal="85" workbookViewId="0">
      <selection activeCell="L7" sqref="L7"/>
    </sheetView>
  </sheetViews>
  <sheetFormatPr defaultRowHeight="15" x14ac:dyDescent="0.25"/>
  <cols>
    <col min="1" max="1" width="12.28515625" bestFit="1" customWidth="1"/>
    <col min="2" max="2" width="12.5703125" bestFit="1" customWidth="1"/>
    <col min="3" max="3" width="10.85546875" bestFit="1" customWidth="1"/>
    <col min="5" max="5" width="7.42578125" bestFit="1" customWidth="1"/>
    <col min="15" max="15" width="17.28515625" bestFit="1" customWidth="1"/>
  </cols>
  <sheetData>
    <row r="1" spans="1:15" x14ac:dyDescent="0.25">
      <c r="A1" s="16" t="s">
        <v>0</v>
      </c>
      <c r="B1" s="16" t="s">
        <v>1</v>
      </c>
      <c r="C1" s="16" t="s">
        <v>2</v>
      </c>
      <c r="D1" s="16"/>
      <c r="E1" s="16"/>
      <c r="G1" s="18" t="s">
        <v>29</v>
      </c>
      <c r="H1" s="19"/>
      <c r="I1" s="20"/>
      <c r="K1" s="18" t="s">
        <v>30</v>
      </c>
      <c r="L1" s="19"/>
      <c r="M1" s="20"/>
      <c r="O1" t="s">
        <v>31</v>
      </c>
    </row>
    <row r="2" spans="1:15" ht="18" x14ac:dyDescent="0.35">
      <c r="A2" s="16"/>
      <c r="B2" s="16"/>
      <c r="C2" s="1" t="s">
        <v>3</v>
      </c>
      <c r="D2" s="1" t="s">
        <v>4</v>
      </c>
      <c r="E2" s="1" t="s">
        <v>5</v>
      </c>
      <c r="G2" s="8">
        <f>SUMPRODUCT(C3:E3,$K$3:$M$3)</f>
        <v>174</v>
      </c>
      <c r="H2" s="8" t="s">
        <v>32</v>
      </c>
      <c r="I2" s="8">
        <v>500</v>
      </c>
      <c r="K2" s="8" t="s">
        <v>15</v>
      </c>
      <c r="L2" s="8" t="s">
        <v>33</v>
      </c>
      <c r="M2" s="8" t="s">
        <v>17</v>
      </c>
      <c r="O2">
        <f>SUMPRODUCT(C5:E5,K3:M3)</f>
        <v>120</v>
      </c>
    </row>
    <row r="3" spans="1:15" x14ac:dyDescent="0.25">
      <c r="A3" s="2" t="s">
        <v>6</v>
      </c>
      <c r="B3" s="1">
        <v>500</v>
      </c>
      <c r="C3" s="1">
        <v>87</v>
      </c>
      <c r="D3" s="1">
        <v>140</v>
      </c>
      <c r="E3" s="1">
        <v>62</v>
      </c>
      <c r="G3" s="8">
        <f>SUMPRODUCT(C4:E4,K3:M3)</f>
        <v>70</v>
      </c>
      <c r="H3" s="8" t="s">
        <v>32</v>
      </c>
      <c r="I3" s="8">
        <v>300</v>
      </c>
      <c r="K3" s="14">
        <v>2</v>
      </c>
      <c r="L3" s="14">
        <v>0</v>
      </c>
      <c r="M3" s="14">
        <v>0</v>
      </c>
    </row>
    <row r="4" spans="1:15" x14ac:dyDescent="0.25">
      <c r="A4" s="2" t="s">
        <v>7</v>
      </c>
      <c r="B4" s="1">
        <v>300</v>
      </c>
      <c r="C4" s="1">
        <v>35</v>
      </c>
      <c r="D4" s="1">
        <v>120</v>
      </c>
      <c r="E4" s="1">
        <v>53</v>
      </c>
      <c r="G4" s="8">
        <f>SUMPRODUCT(C3,K3)</f>
        <v>174</v>
      </c>
      <c r="H4" s="8" t="s">
        <v>34</v>
      </c>
      <c r="I4" s="8">
        <v>60</v>
      </c>
    </row>
    <row r="5" spans="1:15" ht="30" x14ac:dyDescent="0.25">
      <c r="A5" s="3" t="s">
        <v>8</v>
      </c>
      <c r="B5" s="1"/>
      <c r="C5" s="1">
        <v>60</v>
      </c>
      <c r="D5" s="1">
        <v>50</v>
      </c>
      <c r="E5" s="1">
        <v>25</v>
      </c>
      <c r="G5" s="8">
        <f>SUMPRODUCT(C4,K3)</f>
        <v>70</v>
      </c>
      <c r="H5" s="8" t="s">
        <v>34</v>
      </c>
      <c r="I5" s="8">
        <v>60</v>
      </c>
    </row>
    <row r="7" spans="1:15" x14ac:dyDescent="0.25">
      <c r="A7" t="s">
        <v>9</v>
      </c>
    </row>
  </sheetData>
  <mergeCells count="5">
    <mergeCell ref="A1:A2"/>
    <mergeCell ref="B1:B2"/>
    <mergeCell ref="C1:E1"/>
    <mergeCell ref="G1:I1"/>
    <mergeCell ref="K1:M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Симпликс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2026-01-30T10:25:56Z</dcterms:modified>
</cp:coreProperties>
</file>