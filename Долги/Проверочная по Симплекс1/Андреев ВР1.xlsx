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имплекс\"/>
    </mc:Choice>
  </mc:AlternateContent>
  <xr:revisionPtr revIDLastSave="0" documentId="13_ncr:1_{9AC51E28-1F7E-40FD-A4A0-120AE90EA64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Матем. модель" sheetId="1" r:id="rId1"/>
    <sheet name="Поиск решения" sheetId="2" r:id="rId2"/>
  </sheets>
  <definedNames>
    <definedName name="solver_adj" localSheetId="1" hidden="1">'Поиск решения'!$L$3:$N$3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'Поиск решения'!$H$3</definedName>
    <definedName name="solver_lhs2" localSheetId="1" hidden="1">'Поиск решения'!$H$4</definedName>
    <definedName name="solver_lhs3" localSheetId="1" hidden="1">'Поиск решения'!$H$5</definedName>
    <definedName name="solver_lhs4" localSheetId="1" hidden="1">'Поиск решения'!$L$3:$N$3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nwt" localSheetId="1" hidden="1">1</definedName>
    <definedName name="solver_opt" localSheetId="1" hidden="1">'Поиск решения'!$L$3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4</definedName>
    <definedName name="solver_rhs1" localSheetId="1" hidden="1">'Поиск решения'!$J$3</definedName>
    <definedName name="solver_rhs2" localSheetId="1" hidden="1">'Поиск решения'!$J$4</definedName>
    <definedName name="solver_rhs3" localSheetId="1" hidden="1">'Поиск решения'!$J$5</definedName>
    <definedName name="solver_rhs4" localSheetId="1" hidden="1">"целое"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N14" i="1"/>
  <c r="O14" i="1"/>
  <c r="P14" i="1"/>
  <c r="Q14" i="1"/>
  <c r="R14" i="1"/>
  <c r="S14" i="1"/>
  <c r="M14" i="1"/>
  <c r="O13" i="1"/>
  <c r="Q13" i="1"/>
  <c r="R13" i="1"/>
  <c r="S13" i="1"/>
  <c r="N13" i="1"/>
  <c r="R12" i="1"/>
  <c r="S12" i="1"/>
  <c r="Q12" i="1"/>
  <c r="O12" i="1"/>
  <c r="N12" i="1"/>
  <c r="N11" i="1"/>
  <c r="O11" i="1"/>
  <c r="Q11" i="1"/>
  <c r="R11" i="1"/>
  <c r="S11" i="1"/>
  <c r="M11" i="1"/>
  <c r="M13" i="1"/>
  <c r="M7" i="1"/>
  <c r="T7" i="1" s="1"/>
  <c r="T8" i="1"/>
  <c r="O8" i="1"/>
  <c r="P2" i="2"/>
  <c r="H5" i="2"/>
  <c r="H4" i="2"/>
  <c r="H3" i="2"/>
  <c r="T9" i="1"/>
  <c r="N10" i="1"/>
  <c r="O10" i="1"/>
  <c r="P10" i="1"/>
  <c r="Q10" i="1"/>
  <c r="R10" i="1"/>
  <c r="S10" i="1"/>
  <c r="M10" i="1"/>
  <c r="P7" i="1"/>
  <c r="Q7" i="1"/>
  <c r="R7" i="1"/>
  <c r="S7" i="1"/>
  <c r="O7" i="1"/>
  <c r="P8" i="1"/>
  <c r="Q8" i="1"/>
  <c r="R8" i="1"/>
  <c r="S8" i="1"/>
  <c r="P9" i="1"/>
  <c r="Q9" i="1"/>
  <c r="R9" i="1"/>
  <c r="S9" i="1"/>
  <c r="O9" i="1"/>
  <c r="T5" i="1"/>
  <c r="T4" i="1"/>
  <c r="T3" i="1"/>
</calcChain>
</file>

<file path=xl/sharedStrings.xml><?xml version="1.0" encoding="utf-8"?>
<sst xmlns="http://schemas.openxmlformats.org/spreadsheetml/2006/main" count="66" uniqueCount="39">
  <si>
    <r>
      <t>Норма затрат материально-денежных ресурсов a</t>
    </r>
    <r>
      <rPr>
        <vertAlign val="subscript"/>
        <sz val="11"/>
        <color theme="1"/>
        <rFont val="Calibri"/>
        <family val="2"/>
        <charset val="204"/>
        <scheme val="minor"/>
      </rPr>
      <t>ij</t>
    </r>
    <r>
      <rPr>
        <sz val="11"/>
        <color theme="1"/>
        <rFont val="Calibri"/>
        <family val="2"/>
        <scheme val="minor"/>
      </rPr>
      <t xml:space="preserve"> на 1 тыс. руб.</t>
    </r>
  </si>
  <si>
    <t>Группа A</t>
  </si>
  <si>
    <t>Группа B</t>
  </si>
  <si>
    <t>Группа C</t>
  </si>
  <si>
    <t>max</t>
  </si>
  <si>
    <r>
      <t>Объём материально-денежных ресурсов, b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</si>
  <si>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Виды материально-денежных ресурсов</t>
  </si>
  <si>
    <t>Доход, тыс. руб.</t>
  </si>
  <si>
    <t>1-й вид ресурса</t>
  </si>
  <si>
    <t>2-й вид ресурса</t>
  </si>
  <si>
    <t>3-й вид ресурса</t>
  </si>
  <si>
    <t>Определить:</t>
  </si>
  <si>
    <t>План</t>
  </si>
  <si>
    <t>Базисные переменные</t>
  </si>
  <si>
    <t>Значения базисных переменных</t>
  </si>
  <si>
    <r>
      <t>Значения коэффициентов, a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</si>
  <si>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r>
      <rPr>
        <sz val="11"/>
        <color theme="1"/>
        <rFont val="Calibri"/>
        <family val="2"/>
        <charset val="204"/>
      </rPr>
      <t>Θ</t>
    </r>
    <r>
      <rPr>
        <sz val="11"/>
        <color theme="1"/>
        <rFont val="Calibri"/>
        <family val="2"/>
      </rPr>
      <t>, min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</si>
  <si>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</si>
  <si>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</si>
  <si>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</si>
  <si>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</si>
  <si>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5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</si>
  <si>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6</t>
    </r>
  </si>
  <si>
    <t>l</t>
  </si>
  <si>
    <t>Индексная строка</t>
  </si>
  <si>
    <t>ll</t>
  </si>
  <si>
    <t>lll</t>
  </si>
  <si>
    <r>
      <t>→x</t>
    </r>
    <r>
      <rPr>
        <vertAlign val="subscript"/>
        <sz val="11"/>
        <color theme="1"/>
        <rFont val="Calibri"/>
        <family val="2"/>
        <charset val="204"/>
        <scheme val="minor"/>
      </rPr>
      <t>6</t>
    </r>
  </si>
  <si>
    <t>Группа С</t>
  </si>
  <si>
    <t>0 ед.</t>
  </si>
  <si>
    <t>Недоиспользовано</t>
  </si>
  <si>
    <t>Ограничения</t>
  </si>
  <si>
    <t>&lt;=</t>
  </si>
  <si>
    <t>Переменные</t>
  </si>
  <si>
    <t>Целевая функция</t>
  </si>
  <si>
    <r>
      <t>→x</t>
    </r>
    <r>
      <rPr>
        <vertAlign val="subscript"/>
        <sz val="11"/>
        <color theme="1"/>
        <rFont val="Calibri"/>
        <family val="2"/>
        <charset val="204"/>
        <scheme val="minor"/>
      </rPr>
      <t>5</t>
    </r>
  </si>
  <si>
    <t>10 ед.</t>
  </si>
  <si>
    <t>15 ед.</t>
  </si>
  <si>
    <t>95 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</si>
</sst>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228039</xdr:colOff>
      <xdr:row>9</xdr:row>
      <xdr:rowOff>173692</xdr:rowOff>
    </xdr:from>
    <xdr:to>
      <xdr:col>1</xdr:col>
      <xdr:colOff>589428</xdr:colOff>
      <xdr:row>11</xdr:row>
      <xdr:rowOff>240367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43E1F0C7-6CB0-16FC-09F3-1BBDB9D1D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039" y="3983692"/>
          <a:ext cx="1919007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1104900</xdr:colOff>
      <xdr:row>36</xdr:row>
      <xdr:rowOff>161925</xdr:rowOff>
    </xdr:from>
    <xdr:to>
      <xdr:col>3</xdr:col>
      <xdr:colOff>228600</xdr:colOff>
      <xdr:row>38</xdr:row>
      <xdr:rowOff>38100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61B1CAAA-34DC-9A94-0230-BC57CDCC5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8543925"/>
          <a:ext cx="24574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1003488</xdr:colOff>
      <xdr:row>7</xdr:row>
      <xdr:rowOff>80683</xdr:rowOff>
    </xdr:from>
    <xdr:to>
      <xdr:col>1</xdr:col>
      <xdr:colOff>587749</xdr:colOff>
      <xdr:row>7</xdr:row>
      <xdr:rowOff>318808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8B8C09-E3E6-4ADE-9D57-8A9104353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488" y="3128683"/>
          <a:ext cx="1141879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359710</xdr:colOff>
      <xdr:row>7</xdr:row>
      <xdr:rowOff>163044</xdr:rowOff>
    </xdr:from>
    <xdr:to>
      <xdr:col>4</xdr:col>
      <xdr:colOff>944096</xdr:colOff>
      <xdr:row>9</xdr:row>
      <xdr:rowOff>286869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87BFFDE-C1E1-3648-A716-E7513B121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2592" y="3211044"/>
          <a:ext cx="2354916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317688</xdr:colOff>
      <xdr:row>10</xdr:row>
      <xdr:rowOff>179853</xdr:rowOff>
    </xdr:from>
    <xdr:to>
      <xdr:col>4</xdr:col>
      <xdr:colOff>986678</xdr:colOff>
      <xdr:row>12</xdr:row>
      <xdr:rowOff>265578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BB1234B-9EDC-BAF0-3CA0-C58352E1C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0570" y="4370853"/>
          <a:ext cx="243952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341219</xdr:colOff>
      <xdr:row>13</xdr:row>
      <xdr:rowOff>59952</xdr:rowOff>
    </xdr:from>
    <xdr:to>
      <xdr:col>4</xdr:col>
      <xdr:colOff>1025898</xdr:colOff>
      <xdr:row>13</xdr:row>
      <xdr:rowOff>317127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BA3F6430-84B9-5B0B-E54B-6C9454E7A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01" y="5393952"/>
          <a:ext cx="2455209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142875</xdr:colOff>
      <xdr:row>9</xdr:row>
      <xdr:rowOff>114300</xdr:rowOff>
    </xdr:from>
    <xdr:to>
      <xdr:col>11</xdr:col>
      <xdr:colOff>504825</xdr:colOff>
      <xdr:row>9</xdr:row>
      <xdr:rowOff>295275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70AC0D22-7FF1-44D7-A63E-4F1CC0490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0" y="3924300"/>
          <a:ext cx="3619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142875</xdr:colOff>
      <xdr:row>5</xdr:row>
      <xdr:rowOff>95250</xdr:rowOff>
    </xdr:from>
    <xdr:to>
      <xdr:col>11</xdr:col>
      <xdr:colOff>504825</xdr:colOff>
      <xdr:row>5</xdr:row>
      <xdr:rowOff>314325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B093163D-5E87-4E3E-B92D-614DE8996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5925" y="2381250"/>
          <a:ext cx="3619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142875</xdr:colOff>
      <xdr:row>13</xdr:row>
      <xdr:rowOff>114300</xdr:rowOff>
    </xdr:from>
    <xdr:to>
      <xdr:col>11</xdr:col>
      <xdr:colOff>504825</xdr:colOff>
      <xdr:row>13</xdr:row>
      <xdr:rowOff>295275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88731636-B71B-4C6F-8E80-CC8AB9E3B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0" y="5448300"/>
          <a:ext cx="3619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347384</xdr:colOff>
      <xdr:row>12</xdr:row>
      <xdr:rowOff>112058</xdr:rowOff>
    </xdr:from>
    <xdr:to>
      <xdr:col>1</xdr:col>
      <xdr:colOff>507067</xdr:colOff>
      <xdr:row>13</xdr:row>
      <xdr:rowOff>293033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BB22BC50-2461-6E1E-9D13-53FBBB9A8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384" y="5065058"/>
          <a:ext cx="1717301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76200</xdr:colOff>
      <xdr:row>8</xdr:row>
      <xdr:rowOff>47625</xdr:rowOff>
    </xdr:from>
    <xdr:to>
      <xdr:col>23</xdr:col>
      <xdr:colOff>1114425</xdr:colOff>
      <xdr:row>8</xdr:row>
      <xdr:rowOff>323850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7B95F65-5C83-F325-CA96-FEF20CCDD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3476625"/>
          <a:ext cx="23717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85725</xdr:colOff>
      <xdr:row>7</xdr:row>
      <xdr:rowOff>66675</xdr:rowOff>
    </xdr:from>
    <xdr:to>
      <xdr:col>23</xdr:col>
      <xdr:colOff>466725</xdr:colOff>
      <xdr:row>7</xdr:row>
      <xdr:rowOff>342900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B231D28-CB5D-AFC5-937D-A062194D2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68700" y="3114675"/>
          <a:ext cx="1714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zoomScale="85" zoomScaleNormal="85" workbookViewId="0">
      <selection activeCell="E19" sqref="E19"/>
    </sheetView>
  </sheetViews>
  <sheetFormatPr defaultRowHeight="15" x14ac:dyDescent="0.25"/>
  <cols>
    <col min="1" max="1" width="23.42578125" customWidth="1"/>
    <col min="2" max="4" width="13.28515625" customWidth="1"/>
    <col min="5" max="5" width="19.28515625" customWidth="1"/>
    <col min="10" max="10" width="9.140625" customWidth="1"/>
    <col min="11" max="11" width="13.85546875" customWidth="1"/>
    <col min="23" max="23" width="20" customWidth="1"/>
    <col min="24" max="24" width="20.5703125" customWidth="1"/>
  </cols>
  <sheetData>
    <row r="1" spans="1:24" ht="45" customHeight="1" x14ac:dyDescent="0.25">
      <c r="A1" s="15" t="s">
        <v>6</v>
      </c>
      <c r="B1" s="15" t="s">
        <v>0</v>
      </c>
      <c r="C1" s="15"/>
      <c r="D1" s="15"/>
      <c r="E1" s="15" t="s">
        <v>5</v>
      </c>
      <c r="K1" s="13" t="s">
        <v>12</v>
      </c>
      <c r="L1" s="14" t="s">
        <v>13</v>
      </c>
      <c r="M1" s="14" t="s">
        <v>14</v>
      </c>
      <c r="N1" s="13" t="s">
        <v>15</v>
      </c>
      <c r="O1" s="13"/>
      <c r="P1" s="13"/>
      <c r="Q1" s="13"/>
      <c r="R1" s="13"/>
      <c r="S1" s="13"/>
      <c r="T1" s="16" t="s">
        <v>16</v>
      </c>
    </row>
    <row r="2" spans="1:24" ht="45" customHeight="1" x14ac:dyDescent="0.25">
      <c r="A2" s="15"/>
      <c r="B2" s="1" t="s">
        <v>1</v>
      </c>
      <c r="C2" s="1" t="s">
        <v>2</v>
      </c>
      <c r="D2" s="1" t="s">
        <v>3</v>
      </c>
      <c r="E2" s="15"/>
      <c r="K2" s="13"/>
      <c r="L2" s="14"/>
      <c r="M2" s="14"/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16"/>
      <c r="W2" s="2" t="s">
        <v>1</v>
      </c>
      <c r="X2" s="2" t="s">
        <v>37</v>
      </c>
    </row>
    <row r="3" spans="1:24" ht="30" customHeight="1" x14ac:dyDescent="0.25">
      <c r="A3" s="1" t="s">
        <v>8</v>
      </c>
      <c r="B3" s="2">
        <v>3</v>
      </c>
      <c r="C3" s="2">
        <v>6</v>
      </c>
      <c r="D3" s="2">
        <v>4</v>
      </c>
      <c r="E3" s="2">
        <v>180</v>
      </c>
      <c r="K3" s="13" t="s">
        <v>23</v>
      </c>
      <c r="L3" s="2" t="s">
        <v>20</v>
      </c>
      <c r="M3" s="2">
        <v>180</v>
      </c>
      <c r="N3" s="9">
        <v>3</v>
      </c>
      <c r="O3" s="2">
        <v>6</v>
      </c>
      <c r="P3" s="2">
        <v>4</v>
      </c>
      <c r="Q3" s="2">
        <v>1</v>
      </c>
      <c r="R3" s="2">
        <v>0</v>
      </c>
      <c r="S3" s="2">
        <v>0</v>
      </c>
      <c r="T3" s="2">
        <f>M3/N3</f>
        <v>60</v>
      </c>
      <c r="W3" s="2" t="s">
        <v>2</v>
      </c>
      <c r="X3" s="2" t="s">
        <v>29</v>
      </c>
    </row>
    <row r="4" spans="1:24" ht="30" customHeight="1" x14ac:dyDescent="0.25">
      <c r="A4" s="1" t="s">
        <v>9</v>
      </c>
      <c r="B4" s="2">
        <v>2</v>
      </c>
      <c r="C4" s="2">
        <v>1</v>
      </c>
      <c r="D4" s="2">
        <v>2</v>
      </c>
      <c r="E4" s="2">
        <v>50</v>
      </c>
      <c r="K4" s="13"/>
      <c r="L4" s="2" t="s">
        <v>21</v>
      </c>
      <c r="M4" s="2">
        <v>50</v>
      </c>
      <c r="N4" s="9">
        <v>2</v>
      </c>
      <c r="O4" s="2">
        <v>1</v>
      </c>
      <c r="P4" s="2">
        <v>2</v>
      </c>
      <c r="Q4" s="2">
        <v>0</v>
      </c>
      <c r="R4" s="2">
        <v>1</v>
      </c>
      <c r="S4" s="2">
        <v>0</v>
      </c>
      <c r="T4" s="2">
        <f>M4/N4</f>
        <v>25</v>
      </c>
      <c r="W4" s="2" t="s">
        <v>28</v>
      </c>
      <c r="X4" s="2" t="s">
        <v>36</v>
      </c>
    </row>
    <row r="5" spans="1:24" ht="30" customHeight="1" x14ac:dyDescent="0.25">
      <c r="A5" s="1" t="s">
        <v>10</v>
      </c>
      <c r="B5" s="2">
        <v>2</v>
      </c>
      <c r="C5" s="2">
        <v>3</v>
      </c>
      <c r="D5" s="2">
        <v>1</v>
      </c>
      <c r="E5" s="2">
        <v>40</v>
      </c>
      <c r="K5" s="13"/>
      <c r="L5" s="10" t="s">
        <v>27</v>
      </c>
      <c r="M5" s="10">
        <v>40</v>
      </c>
      <c r="N5" s="5">
        <v>2</v>
      </c>
      <c r="O5" s="10">
        <v>3</v>
      </c>
      <c r="P5" s="10">
        <v>1</v>
      </c>
      <c r="Q5" s="10">
        <v>0</v>
      </c>
      <c r="R5" s="10">
        <v>0</v>
      </c>
      <c r="S5" s="10">
        <v>1</v>
      </c>
      <c r="T5" s="6">
        <f>M5/N5</f>
        <v>20</v>
      </c>
    </row>
    <row r="6" spans="1:24" ht="30" customHeight="1" x14ac:dyDescent="0.25">
      <c r="A6" s="1" t="s">
        <v>7</v>
      </c>
      <c r="B6" s="2">
        <v>6</v>
      </c>
      <c r="C6" s="2">
        <v>5</v>
      </c>
      <c r="D6" s="2">
        <v>5</v>
      </c>
      <c r="E6" s="2" t="s">
        <v>4</v>
      </c>
      <c r="K6" s="3" t="s">
        <v>24</v>
      </c>
      <c r="L6" s="7"/>
      <c r="M6" s="2">
        <v>0</v>
      </c>
      <c r="N6" s="8">
        <v>-6</v>
      </c>
      <c r="O6" s="2">
        <v>-5</v>
      </c>
      <c r="P6" s="2">
        <v>-5</v>
      </c>
      <c r="Q6" s="2">
        <v>0</v>
      </c>
      <c r="R6" s="2">
        <v>0</v>
      </c>
      <c r="S6" s="2">
        <v>0</v>
      </c>
      <c r="T6" s="7"/>
      <c r="W6" s="2" t="s">
        <v>30</v>
      </c>
      <c r="X6" s="2" t="s">
        <v>38</v>
      </c>
    </row>
    <row r="7" spans="1:24" ht="30" customHeight="1" x14ac:dyDescent="0.25">
      <c r="K7" s="13" t="s">
        <v>25</v>
      </c>
      <c r="L7" s="2" t="s">
        <v>20</v>
      </c>
      <c r="M7" s="2">
        <f>M3-(M5*N3)/N5</f>
        <v>120</v>
      </c>
      <c r="N7" s="2">
        <v>0</v>
      </c>
      <c r="O7" s="2">
        <f>O3-(O5*$N$3)/$N$5</f>
        <v>1.5</v>
      </c>
      <c r="P7" s="9">
        <f t="shared" ref="P7:S7" si="0">P3-(P5*$N$3)/$N$5</f>
        <v>2.5</v>
      </c>
      <c r="Q7" s="2">
        <f t="shared" si="0"/>
        <v>1</v>
      </c>
      <c r="R7" s="2">
        <f t="shared" si="0"/>
        <v>0</v>
      </c>
      <c r="S7" s="2">
        <f t="shared" si="0"/>
        <v>-1.5</v>
      </c>
      <c r="T7" s="2">
        <f>M7/P7</f>
        <v>48</v>
      </c>
    </row>
    <row r="8" spans="1:24" ht="30" customHeight="1" x14ac:dyDescent="0.25">
      <c r="A8" s="11" t="s">
        <v>11</v>
      </c>
      <c r="B8" s="4"/>
      <c r="C8" s="4"/>
      <c r="K8" s="13"/>
      <c r="L8" s="10" t="s">
        <v>35</v>
      </c>
      <c r="M8" s="10">
        <f>M4-(M5*N4)/N5</f>
        <v>10</v>
      </c>
      <c r="N8" s="10">
        <v>0</v>
      </c>
      <c r="O8" s="10">
        <f>O4-(O5*$N$4)/$N$5</f>
        <v>-2</v>
      </c>
      <c r="P8" s="5">
        <f t="shared" ref="P8:S8" si="1">P4-(P5*$N$4)/$N$5</f>
        <v>1</v>
      </c>
      <c r="Q8" s="10">
        <f t="shared" si="1"/>
        <v>0</v>
      </c>
      <c r="R8" s="10">
        <f t="shared" si="1"/>
        <v>1</v>
      </c>
      <c r="S8" s="10">
        <f t="shared" si="1"/>
        <v>-1</v>
      </c>
      <c r="T8" s="6">
        <f t="shared" ref="T8:T9" si="2">M8/P8</f>
        <v>10</v>
      </c>
    </row>
    <row r="9" spans="1:24" ht="30" customHeight="1" x14ac:dyDescent="0.25">
      <c r="A9" s="4"/>
      <c r="B9" s="4"/>
      <c r="C9" s="4"/>
      <c r="D9" s="4"/>
      <c r="K9" s="13"/>
      <c r="L9" s="2" t="s">
        <v>17</v>
      </c>
      <c r="M9" s="2">
        <v>20</v>
      </c>
      <c r="N9" s="2">
        <v>1</v>
      </c>
      <c r="O9" s="2">
        <f>O5/$N$5</f>
        <v>1.5</v>
      </c>
      <c r="P9" s="9">
        <f t="shared" ref="P9:S9" si="3">P5/$N$5</f>
        <v>0.5</v>
      </c>
      <c r="Q9" s="2">
        <f t="shared" si="3"/>
        <v>0</v>
      </c>
      <c r="R9" s="2">
        <f t="shared" si="3"/>
        <v>0</v>
      </c>
      <c r="S9" s="2">
        <f t="shared" si="3"/>
        <v>0.5</v>
      </c>
      <c r="T9" s="2">
        <f t="shared" si="2"/>
        <v>40</v>
      </c>
    </row>
    <row r="10" spans="1:24" ht="30" customHeight="1" x14ac:dyDescent="0.25">
      <c r="A10" s="4"/>
      <c r="B10" s="4"/>
      <c r="C10" s="4"/>
      <c r="K10" s="3" t="s">
        <v>24</v>
      </c>
      <c r="L10" s="7"/>
      <c r="M10" s="2">
        <f>M6-(M5*$N$6)/$N$5</f>
        <v>120</v>
      </c>
      <c r="N10" s="2">
        <f t="shared" ref="N10:S10" si="4">N6-(N5*$N$6)/$N$5</f>
        <v>0</v>
      </c>
      <c r="O10" s="2">
        <f t="shared" si="4"/>
        <v>4</v>
      </c>
      <c r="P10" s="8">
        <f t="shared" si="4"/>
        <v>-2</v>
      </c>
      <c r="Q10" s="2">
        <f t="shared" si="4"/>
        <v>0</v>
      </c>
      <c r="R10" s="2">
        <f t="shared" si="4"/>
        <v>0</v>
      </c>
      <c r="S10" s="2">
        <f t="shared" si="4"/>
        <v>3</v>
      </c>
      <c r="T10" s="2"/>
    </row>
    <row r="11" spans="1:24" ht="30" customHeight="1" x14ac:dyDescent="0.25">
      <c r="A11" s="4"/>
      <c r="B11" s="4"/>
      <c r="C11" s="4"/>
      <c r="D11" s="4"/>
      <c r="K11" s="13" t="s">
        <v>26</v>
      </c>
      <c r="L11" s="2" t="s">
        <v>20</v>
      </c>
      <c r="M11" s="2">
        <f>M7-(M8*$P$7)/$P$8</f>
        <v>95</v>
      </c>
      <c r="N11" s="2">
        <f t="shared" ref="N11:S11" si="5">N7-(N8*$P$7)/$P$8</f>
        <v>0</v>
      </c>
      <c r="O11" s="2">
        <f t="shared" si="5"/>
        <v>6.5</v>
      </c>
      <c r="P11" s="2">
        <v>0</v>
      </c>
      <c r="Q11" s="2">
        <f t="shared" si="5"/>
        <v>1</v>
      </c>
      <c r="R11" s="2">
        <f t="shared" si="5"/>
        <v>-2.5</v>
      </c>
      <c r="S11" s="2">
        <f t="shared" si="5"/>
        <v>1</v>
      </c>
      <c r="T11" s="2"/>
    </row>
    <row r="12" spans="1:24" ht="30" customHeight="1" x14ac:dyDescent="0.25">
      <c r="A12" s="4"/>
      <c r="B12" s="4"/>
      <c r="C12" s="4"/>
      <c r="D12" s="4"/>
      <c r="K12" s="13"/>
      <c r="L12" s="2" t="s">
        <v>19</v>
      </c>
      <c r="M12" s="2">
        <v>10</v>
      </c>
      <c r="N12" s="2">
        <f>N8/$O$8</f>
        <v>0</v>
      </c>
      <c r="O12" s="2">
        <f>O8/$O$8</f>
        <v>1</v>
      </c>
      <c r="P12" s="2">
        <v>1</v>
      </c>
      <c r="Q12" s="2">
        <f>Q8/$P$8</f>
        <v>0</v>
      </c>
      <c r="R12" s="2">
        <f t="shared" ref="R12:S12" si="6">R8/$P$8</f>
        <v>1</v>
      </c>
      <c r="S12" s="2">
        <f t="shared" si="6"/>
        <v>-1</v>
      </c>
      <c r="T12" s="2"/>
    </row>
    <row r="13" spans="1:24" ht="30" customHeight="1" x14ac:dyDescent="0.25">
      <c r="A13" s="4"/>
      <c r="B13" s="4"/>
      <c r="C13" s="4"/>
      <c r="D13" s="4"/>
      <c r="K13" s="13"/>
      <c r="L13" s="2" t="s">
        <v>17</v>
      </c>
      <c r="M13" s="2">
        <f>M9-(M8*P9)/P8</f>
        <v>15</v>
      </c>
      <c r="N13" s="2">
        <f>N9-(N8*$P$9)/$P$8</f>
        <v>1</v>
      </c>
      <c r="O13" s="2">
        <f t="shared" ref="O13:S13" si="7">O9-(O8*$P$9)/$P$8</f>
        <v>2.5</v>
      </c>
      <c r="P13" s="2">
        <v>0</v>
      </c>
      <c r="Q13" s="2">
        <f t="shared" si="7"/>
        <v>0</v>
      </c>
      <c r="R13" s="2">
        <f t="shared" si="7"/>
        <v>-0.5</v>
      </c>
      <c r="S13" s="2">
        <f t="shared" si="7"/>
        <v>1</v>
      </c>
      <c r="T13" s="2"/>
    </row>
    <row r="14" spans="1:24" ht="30" customHeight="1" x14ac:dyDescent="0.25">
      <c r="A14" s="4"/>
      <c r="B14" s="4"/>
      <c r="C14" s="4"/>
      <c r="D14" s="4"/>
      <c r="K14" s="3" t="s">
        <v>24</v>
      </c>
      <c r="L14" s="7"/>
      <c r="M14" s="2">
        <f>M10-(M8*$P$10)/$P$8</f>
        <v>140</v>
      </c>
      <c r="N14" s="2">
        <f t="shared" ref="N14:S14" si="8">N10-(N8*$P$10)/$P$8</f>
        <v>0</v>
      </c>
      <c r="O14" s="2">
        <f t="shared" si="8"/>
        <v>0</v>
      </c>
      <c r="P14" s="2">
        <f t="shared" si="8"/>
        <v>0</v>
      </c>
      <c r="Q14" s="2">
        <f t="shared" si="8"/>
        <v>0</v>
      </c>
      <c r="R14" s="2">
        <f t="shared" si="8"/>
        <v>2</v>
      </c>
      <c r="S14" s="2">
        <f t="shared" si="8"/>
        <v>1</v>
      </c>
      <c r="T14" s="2"/>
    </row>
    <row r="15" spans="1:24" x14ac:dyDescent="0.25">
      <c r="A15" s="4"/>
      <c r="B15" s="4"/>
      <c r="C15" s="4"/>
      <c r="D15" s="4"/>
    </row>
    <row r="16" spans="1:24" x14ac:dyDescent="0.25">
      <c r="A16" s="4"/>
      <c r="B16" s="4"/>
      <c r="C16" s="4"/>
      <c r="D16" s="4"/>
    </row>
    <row r="17" spans="1:4" x14ac:dyDescent="0.25">
      <c r="A17" s="4"/>
      <c r="B17" s="4"/>
      <c r="C17" s="4"/>
      <c r="D17" s="4"/>
    </row>
    <row r="18" spans="1:4" x14ac:dyDescent="0.25">
      <c r="A18" s="4"/>
      <c r="B18" s="4"/>
      <c r="C18" s="4"/>
      <c r="D18" s="4"/>
    </row>
  </sheetData>
  <mergeCells count="11">
    <mergeCell ref="B1:D1"/>
    <mergeCell ref="E1:E2"/>
    <mergeCell ref="A1:A2"/>
    <mergeCell ref="T1:T2"/>
    <mergeCell ref="K3:K5"/>
    <mergeCell ref="K7:K9"/>
    <mergeCell ref="K11:K13"/>
    <mergeCell ref="M1:M2"/>
    <mergeCell ref="N1:S1"/>
    <mergeCell ref="K1:K2"/>
    <mergeCell ref="L1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B2B0-D0F2-44D6-8837-B7F7659C8A54}">
  <dimension ref="A1:Q6"/>
  <sheetViews>
    <sheetView tabSelected="1" workbookViewId="0">
      <selection activeCell="H8" sqref="H8"/>
    </sheetView>
  </sheetViews>
  <sheetFormatPr defaultRowHeight="15" x14ac:dyDescent="0.25"/>
  <cols>
    <col min="1" max="1" width="23.42578125" customWidth="1"/>
    <col min="2" max="4" width="13.28515625" customWidth="1"/>
    <col min="5" max="5" width="19.28515625" customWidth="1"/>
    <col min="8" max="8" width="19.7109375" customWidth="1"/>
  </cols>
  <sheetData>
    <row r="1" spans="1:17" ht="45" customHeight="1" x14ac:dyDescent="0.25">
      <c r="A1" s="15" t="s">
        <v>6</v>
      </c>
      <c r="B1" s="15" t="s">
        <v>0</v>
      </c>
      <c r="C1" s="15"/>
      <c r="D1" s="15"/>
      <c r="E1" s="15" t="s">
        <v>5</v>
      </c>
      <c r="H1" s="12"/>
      <c r="I1" s="12"/>
      <c r="J1" s="12"/>
      <c r="L1" s="18" t="s">
        <v>33</v>
      </c>
      <c r="M1" s="18"/>
      <c r="N1" s="18"/>
      <c r="P1" s="18" t="s">
        <v>34</v>
      </c>
      <c r="Q1" s="18"/>
    </row>
    <row r="2" spans="1:17" ht="45" customHeight="1" x14ac:dyDescent="0.25">
      <c r="A2" s="15"/>
      <c r="B2" s="1" t="s">
        <v>1</v>
      </c>
      <c r="C2" s="1" t="s">
        <v>2</v>
      </c>
      <c r="D2" s="1" t="s">
        <v>3</v>
      </c>
      <c r="E2" s="15"/>
      <c r="H2" s="17" t="s">
        <v>31</v>
      </c>
      <c r="I2" s="17"/>
      <c r="J2" s="17"/>
      <c r="L2" s="2" t="s">
        <v>17</v>
      </c>
      <c r="M2" s="2" t="s">
        <v>18</v>
      </c>
      <c r="N2" s="2" t="s">
        <v>19</v>
      </c>
      <c r="P2" s="18">
        <f>SUMPRODUCT(B6:D6,L3:N3)</f>
        <v>96</v>
      </c>
      <c r="Q2" s="18"/>
    </row>
    <row r="3" spans="1:17" ht="30" customHeight="1" x14ac:dyDescent="0.25">
      <c r="A3" s="1" t="s">
        <v>8</v>
      </c>
      <c r="B3" s="2">
        <v>3</v>
      </c>
      <c r="C3" s="2">
        <v>6</v>
      </c>
      <c r="D3" s="2">
        <v>4</v>
      </c>
      <c r="E3" s="2">
        <v>180</v>
      </c>
      <c r="H3" s="2">
        <f>SUMPRODUCT(B3:D3,L3:N3)</f>
        <v>48</v>
      </c>
      <c r="I3" s="2" t="s">
        <v>32</v>
      </c>
      <c r="J3" s="2">
        <v>180</v>
      </c>
      <c r="L3" s="2">
        <v>16</v>
      </c>
      <c r="M3" s="2">
        <v>0</v>
      </c>
      <c r="N3" s="2">
        <v>0</v>
      </c>
    </row>
    <row r="4" spans="1:17" ht="30" customHeight="1" x14ac:dyDescent="0.25">
      <c r="A4" s="1" t="s">
        <v>9</v>
      </c>
      <c r="B4" s="2">
        <v>2</v>
      </c>
      <c r="C4" s="2">
        <v>1</v>
      </c>
      <c r="D4" s="2">
        <v>2</v>
      </c>
      <c r="E4" s="2">
        <v>50</v>
      </c>
      <c r="H4" s="2">
        <f>SUMPRODUCT(B3:D3,L3:N3)</f>
        <v>48</v>
      </c>
      <c r="I4" s="2" t="s">
        <v>32</v>
      </c>
      <c r="J4" s="2">
        <v>50</v>
      </c>
    </row>
    <row r="5" spans="1:17" ht="30" customHeight="1" x14ac:dyDescent="0.25">
      <c r="A5" s="1" t="s">
        <v>10</v>
      </c>
      <c r="B5" s="2">
        <v>2</v>
      </c>
      <c r="C5" s="2">
        <v>3</v>
      </c>
      <c r="D5" s="2">
        <v>1</v>
      </c>
      <c r="E5" s="2">
        <v>40</v>
      </c>
      <c r="H5" s="2">
        <f>SUMPRODUCT(B4:D4,L4:N4)</f>
        <v>0</v>
      </c>
      <c r="I5" s="2" t="s">
        <v>32</v>
      </c>
      <c r="J5" s="2">
        <v>40</v>
      </c>
    </row>
    <row r="6" spans="1:17" ht="30" customHeight="1" x14ac:dyDescent="0.25">
      <c r="A6" s="1" t="s">
        <v>7</v>
      </c>
      <c r="B6" s="2">
        <v>6</v>
      </c>
      <c r="C6" s="2">
        <v>5</v>
      </c>
      <c r="D6" s="2">
        <v>5</v>
      </c>
      <c r="E6" s="2" t="s">
        <v>4</v>
      </c>
    </row>
  </sheetData>
  <mergeCells count="7">
    <mergeCell ref="A1:A2"/>
    <mergeCell ref="B1:D1"/>
    <mergeCell ref="E1:E2"/>
    <mergeCell ref="H2:J2"/>
    <mergeCell ref="P1:Q1"/>
    <mergeCell ref="P2:Q2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Матем. модель</vt:lpstr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2026-02-02T06:28:55Z</dcterms:modified>
</cp:coreProperties>
</file>