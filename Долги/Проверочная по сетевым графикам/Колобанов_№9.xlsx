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 xmlns:mc="http://schemas.openxmlformats.org/markup-compatibility/2006">
    <mc:Choice Requires="x15">
      <x15ac:absPath xmlns:x15ac="http://schemas.microsoft.com/office/spreadsheetml/2010/11/ac" url="\\Titanium2\Classwork\П-40\ММ\Проверочная по сетевым графикам\"/>
    </mc:Choice>
  </mc:AlternateContent>
  <xr:revisionPtr revIDLastSave="0" documentId="13_ncr:1_{430AB282-FADA-4243-AB2F-236368C86893}" xr6:coauthVersionLast="47" xr6:coauthVersionMax="47" xr10:uidLastSave="{00000000-0000-0000-0000-000000000000}"/>
  <bookViews>
    <workbookView xWindow="0" yWindow="450" windowWidth="14400" windowHeight="15150" firstSheet="2" activeTab="2" xr2:uid="{00000000-000D-0000-FFFF-FFFF00000000}"/>
  </bookViews>
  <sheets>
    <sheet name="Сетевой график" sheetId="1" r:id="rId1"/>
    <sheet name="Кратчайший путь" sheetId="2" r:id="rId2"/>
    <sheet name="Максимальный поток(поиск реш.)" sheetId="3" r:id="rId3"/>
    <sheet name="Кратчайший пусть(поиск реш.)" sheetId="4" r:id="rId4"/>
  </sheets>
  <definedNames>
    <definedName name="solver_adj" localSheetId="3" hidden="1">'Кратчайший пусть(поиск реш.)'!$D$3:$D$27</definedName>
    <definedName name="solver_adj" localSheetId="2" hidden="1">'Максимальный поток(поиск реш.)'!$D$3:$D$27</definedName>
    <definedName name="solver_cvg" localSheetId="3" hidden="1">0.0001</definedName>
    <definedName name="solver_cvg" localSheetId="2" hidden="1">0.0001</definedName>
    <definedName name="solver_drv" localSheetId="3" hidden="1">1</definedName>
    <definedName name="solver_drv" localSheetId="2" hidden="1">1</definedName>
    <definedName name="solver_eng" localSheetId="3" hidden="1">1</definedName>
    <definedName name="solver_eng" localSheetId="2" hidden="1">1</definedName>
    <definedName name="solver_est" localSheetId="3" hidden="1">1</definedName>
    <definedName name="solver_est" localSheetId="2" hidden="1">1</definedName>
    <definedName name="solver_itr" localSheetId="3" hidden="1">2147483647</definedName>
    <definedName name="solver_itr" localSheetId="2" hidden="1">2147483647</definedName>
    <definedName name="solver_lhs1" localSheetId="3" hidden="1">'Кратчайший пусть(поиск реш.)'!$D$3:$D$27</definedName>
    <definedName name="solver_lhs1" localSheetId="2" hidden="1">'Максимальный поток(поиск реш.)'!$D$3:$D$27</definedName>
    <definedName name="solver_lhs2" localSheetId="3" hidden="1">'Кратчайший пусть(поиск реш.)'!$D$3:$D$27</definedName>
    <definedName name="solver_lhs2" localSheetId="2" hidden="1">'Максимальный поток(поиск реш.)'!$D$3:$D$27</definedName>
    <definedName name="solver_lhs3" localSheetId="3" hidden="1">'Кратчайший пусть(поиск реш.)'!$E$18</definedName>
    <definedName name="solver_lhs3" localSheetId="2" hidden="1">'Максимальный поток(поиск реш.)'!$E$3:$E$17</definedName>
    <definedName name="solver_lhs4" localSheetId="3" hidden="1">'Кратчайший пусть(поиск реш.)'!$E$3</definedName>
    <definedName name="solver_lhs5" localSheetId="3" hidden="1">'Кратчайший пусть(поиск реш.)'!$E$4:$E$17</definedName>
    <definedName name="solver_mip" localSheetId="3" hidden="1">2147483647</definedName>
    <definedName name="solver_mip" localSheetId="2" hidden="1">2147483647</definedName>
    <definedName name="solver_mni" localSheetId="3" hidden="1">30</definedName>
    <definedName name="solver_mni" localSheetId="2" hidden="1">30</definedName>
    <definedName name="solver_mrt" localSheetId="3" hidden="1">0.075</definedName>
    <definedName name="solver_mrt" localSheetId="2" hidden="1">0.075</definedName>
    <definedName name="solver_msl" localSheetId="3" hidden="1">2</definedName>
    <definedName name="solver_msl" localSheetId="2" hidden="1">2</definedName>
    <definedName name="solver_neg" localSheetId="3" hidden="1">1</definedName>
    <definedName name="solver_neg" localSheetId="2" hidden="1">1</definedName>
    <definedName name="solver_nod" localSheetId="3" hidden="1">2147483647</definedName>
    <definedName name="solver_nod" localSheetId="2" hidden="1">2147483647</definedName>
    <definedName name="solver_num" localSheetId="3" hidden="1">5</definedName>
    <definedName name="solver_num" localSheetId="2" hidden="1">3</definedName>
    <definedName name="solver_nwt" localSheetId="3" hidden="1">1</definedName>
    <definedName name="solver_nwt" localSheetId="2" hidden="1">1</definedName>
    <definedName name="solver_opt" localSheetId="3" hidden="1">'Кратчайший пусть(поиск реш.)'!$F$3</definedName>
    <definedName name="solver_opt" localSheetId="2" hidden="1">'Максимальный поток(поиск реш.)'!$F$3</definedName>
    <definedName name="solver_pre" localSheetId="3" hidden="1">0.000001</definedName>
    <definedName name="solver_pre" localSheetId="2" hidden="1">0.000001</definedName>
    <definedName name="solver_rbv" localSheetId="3" hidden="1">1</definedName>
    <definedName name="solver_rbv" localSheetId="2" hidden="1">1</definedName>
    <definedName name="solver_rel1" localSheetId="3" hidden="1">5</definedName>
    <definedName name="solver_rel1" localSheetId="2" hidden="1">1</definedName>
    <definedName name="solver_rel2" localSheetId="3" hidden="1">4</definedName>
    <definedName name="solver_rel2" localSheetId="2" hidden="1">4</definedName>
    <definedName name="solver_rel3" localSheetId="3" hidden="1">2</definedName>
    <definedName name="solver_rel3" localSheetId="2" hidden="1">2</definedName>
    <definedName name="solver_rel4" localSheetId="3" hidden="1">2</definedName>
    <definedName name="solver_rel5" localSheetId="3" hidden="1">2</definedName>
    <definedName name="solver_rhs1" localSheetId="3" hidden="1">"бинарное"</definedName>
    <definedName name="solver_rhs1" localSheetId="2" hidden="1">'Максимальный поток(поиск реш.)'!$C$3:$C$27</definedName>
    <definedName name="solver_rhs2" localSheetId="3" hidden="1">"целое"</definedName>
    <definedName name="solver_rhs2" localSheetId="2" hidden="1">"целое"</definedName>
    <definedName name="solver_rhs3" localSheetId="3" hidden="1">1</definedName>
    <definedName name="solver_rhs3" localSheetId="2" hidden="1">0</definedName>
    <definedName name="solver_rhs4" localSheetId="3" hidden="1">1</definedName>
    <definedName name="solver_rhs5" localSheetId="3" hidden="1">0</definedName>
    <definedName name="solver_rlx" localSheetId="3" hidden="1">2</definedName>
    <definedName name="solver_rlx" localSheetId="2" hidden="1">2</definedName>
    <definedName name="solver_rsd" localSheetId="3" hidden="1">0</definedName>
    <definedName name="solver_rsd" localSheetId="2" hidden="1">0</definedName>
    <definedName name="solver_scl" localSheetId="3" hidden="1">1</definedName>
    <definedName name="solver_scl" localSheetId="2" hidden="1">1</definedName>
    <definedName name="solver_sho" localSheetId="3" hidden="1">2</definedName>
    <definedName name="solver_sho" localSheetId="2" hidden="1">2</definedName>
    <definedName name="solver_ssz" localSheetId="3" hidden="1">100</definedName>
    <definedName name="solver_ssz" localSheetId="2" hidden="1">100</definedName>
    <definedName name="solver_tim" localSheetId="3" hidden="1">2147483647</definedName>
    <definedName name="solver_tim" localSheetId="2" hidden="1">2147483647</definedName>
    <definedName name="solver_tol" localSheetId="3" hidden="1">0.01</definedName>
    <definedName name="solver_tol" localSheetId="2" hidden="1">0.01</definedName>
    <definedName name="solver_typ" localSheetId="3" hidden="1">2</definedName>
    <definedName name="solver_typ" localSheetId="2" hidden="1">1</definedName>
    <definedName name="solver_val" localSheetId="3" hidden="1">0</definedName>
    <definedName name="solver_val" localSheetId="2" hidden="1">0</definedName>
    <definedName name="solver_ver" localSheetId="3" hidden="1">3</definedName>
    <definedName name="solver_ver" localSheetId="2" hidden="1">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3" i="3" l="1"/>
  <c r="E4" i="3"/>
  <c r="F3" i="3"/>
  <c r="E7" i="3"/>
  <c r="E5" i="3"/>
  <c r="E17" i="3"/>
  <c r="E16" i="3"/>
  <c r="E15" i="3"/>
  <c r="E14" i="3"/>
  <c r="E13" i="3"/>
  <c r="E12" i="3"/>
  <c r="E11" i="3"/>
  <c r="E10" i="3"/>
  <c r="E9" i="3"/>
  <c r="E8" i="3"/>
  <c r="E6" i="3"/>
  <c r="E4" i="4"/>
  <c r="E3" i="4"/>
  <c r="E8" i="4"/>
  <c r="E5" i="4"/>
  <c r="E18" i="4"/>
  <c r="F3" i="4"/>
  <c r="E17" i="4"/>
  <c r="E16" i="4"/>
  <c r="E15" i="4"/>
  <c r="E14" i="4"/>
  <c r="E13" i="4"/>
  <c r="E12" i="4"/>
  <c r="E11" i="4"/>
  <c r="E10" i="4"/>
  <c r="E9" i="4"/>
  <c r="E7" i="4"/>
  <c r="E6" i="4"/>
  <c r="F22" i="2"/>
</calcChain>
</file>

<file path=xl/sharedStrings.xml><?xml version="1.0" encoding="utf-8"?>
<sst xmlns="http://schemas.openxmlformats.org/spreadsheetml/2006/main" count="72" uniqueCount="53">
  <si>
    <t>-</t>
  </si>
  <si>
    <t>А</t>
  </si>
  <si>
    <t>Б</t>
  </si>
  <si>
    <t>В</t>
  </si>
  <si>
    <t>Г</t>
  </si>
  <si>
    <t>Д</t>
  </si>
  <si>
    <t>Е</t>
  </si>
  <si>
    <t>Н</t>
  </si>
  <si>
    <t>Ж</t>
  </si>
  <si>
    <t>З</t>
  </si>
  <si>
    <t>И</t>
  </si>
  <si>
    <t>К</t>
  </si>
  <si>
    <t>Л</t>
  </si>
  <si>
    <t>М</t>
  </si>
  <si>
    <t>О</t>
  </si>
  <si>
    <t>В,Г</t>
  </si>
  <si>
    <t>Г,В</t>
  </si>
  <si>
    <t>А,Б</t>
  </si>
  <si>
    <t>Е,Д</t>
  </si>
  <si>
    <t>Ж,З</t>
  </si>
  <si>
    <t>А,В</t>
  </si>
  <si>
    <t>Ж,З,Н</t>
  </si>
  <si>
    <t>Предыдущая работа</t>
  </si>
  <si>
    <t>Рассматриваемая работа</t>
  </si>
  <si>
    <t>Нахождение кратчайшего пути</t>
  </si>
  <si>
    <r>
      <t>P</t>
    </r>
    <r>
      <rPr>
        <vertAlign val="subscript"/>
        <sz val="14"/>
        <color theme="1"/>
        <rFont val="Times New Roman"/>
        <family val="1"/>
        <charset val="204"/>
      </rPr>
      <t>i</t>
    </r>
  </si>
  <si>
    <r>
      <t>P</t>
    </r>
    <r>
      <rPr>
        <vertAlign val="subscript"/>
        <sz val="14"/>
        <color theme="1"/>
        <rFont val="Times New Roman"/>
        <family val="1"/>
        <charset val="204"/>
      </rPr>
      <t>j</t>
    </r>
  </si>
  <si>
    <r>
      <t>L</t>
    </r>
    <r>
      <rPr>
        <vertAlign val="subscript"/>
        <sz val="14"/>
        <color theme="1"/>
        <rFont val="Times New Roman"/>
        <family val="1"/>
        <charset val="204"/>
      </rPr>
      <t>ij</t>
    </r>
  </si>
  <si>
    <t>Нахождение</t>
  </si>
  <si>
    <t>Кратчайший путь</t>
  </si>
  <si>
    <t>min</t>
  </si>
  <si>
    <t>1-2-5-6-8-10-12-13-17</t>
  </si>
  <si>
    <t>1-2-5-6-8-10-12-13-16-17</t>
  </si>
  <si>
    <t>1-2-5-6-9-10-12-13-16-17</t>
  </si>
  <si>
    <t>1-2-5-6-9-10-12-13-17</t>
  </si>
  <si>
    <t>1-2-14-15-17</t>
  </si>
  <si>
    <t>1-3-4-6-8-10-12-13-16-17</t>
  </si>
  <si>
    <t>1-3-4-6-8-10-12-13-17</t>
  </si>
  <si>
    <t>1-3-4-6-9-10-12-13-16-17</t>
  </si>
  <si>
    <t>1-3-4-6-9-10-12-13-17</t>
  </si>
  <si>
    <t>1-3-4-14-15-17</t>
  </si>
  <si>
    <t>1-3-7-13-16-17</t>
  </si>
  <si>
    <t>1-3-7-13-17</t>
  </si>
  <si>
    <t>1-3-11-13-16-17</t>
  </si>
  <si>
    <t>1-3-11-13-17</t>
  </si>
  <si>
    <t>1-3-11-17</t>
  </si>
  <si>
    <t>Переменные</t>
  </si>
  <si>
    <t>Ограничения</t>
  </si>
  <si>
    <r>
      <t>L</t>
    </r>
    <r>
      <rPr>
        <vertAlign val="subscript"/>
        <sz val="14"/>
        <color theme="1"/>
        <rFont val="Times New Roman"/>
        <family val="1"/>
        <charset val="204"/>
      </rPr>
      <t>min</t>
    </r>
  </si>
  <si>
    <t>1-2-7-13-17</t>
  </si>
  <si>
    <t>1-2-7-13-16-17</t>
  </si>
  <si>
    <r>
      <t>f</t>
    </r>
    <r>
      <rPr>
        <vertAlign val="subscript"/>
        <sz val="14"/>
        <color theme="1"/>
        <rFont val="Times New Roman"/>
        <family val="1"/>
        <charset val="204"/>
      </rPr>
      <t>ij</t>
    </r>
  </si>
  <si>
    <r>
      <t>f</t>
    </r>
    <r>
      <rPr>
        <vertAlign val="subscript"/>
        <sz val="14"/>
        <color theme="1"/>
        <rFont val="Times New Roman"/>
        <family val="1"/>
        <charset val="204"/>
      </rPr>
      <t>max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</si>
</sst>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  <charset val="204"/>
    </font>
    <font>
      <sz val="14"/>
      <color theme="1"/>
      <name val="Times New Roman"/>
      <family val="1"/>
      <charset val="204"/>
    </font>
    <font>
      <vertAlign val="subscript"/>
      <sz val="14"/>
      <color theme="1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1" xfId="0" applyBorder="1"/>
    <xf numFmtId="0" fontId="1" fillId="0" borderId="0" xfId="0" applyFont="1"/>
    <xf numFmtId="0" fontId="1" fillId="0" borderId="1" xfId="0" applyFont="1" applyBorder="1"/>
    <xf numFmtId="0" fontId="2" fillId="0" borderId="1" xfId="0" applyFont="1" applyBorder="1"/>
    <xf numFmtId="14" fontId="0" fillId="0" borderId="1" xfId="0" applyNumberFormat="1" applyBorder="1"/>
    <xf numFmtId="16" fontId="0" fillId="0" borderId="1" xfId="0" applyNumberFormat="1" applyBorder="1"/>
    <xf numFmtId="0" fontId="0" fillId="0" borderId="4" xfId="0" applyBorder="1"/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36980</xdr:colOff>
      <xdr:row>16</xdr:row>
      <xdr:rowOff>56591</xdr:rowOff>
    </xdr:from>
    <xdr:to>
      <xdr:col>6</xdr:col>
      <xdr:colOff>565898</xdr:colOff>
      <xdr:row>19</xdr:row>
      <xdr:rowOff>18491</xdr:rowOff>
    </xdr:to>
    <xdr:sp macro="" textlink="">
      <xdr:nvSpPr>
        <xdr:cNvPr id="2" name="Овал 1">
          <a:extLst>
            <a:ext uri="{FF2B5EF4-FFF2-40B4-BE49-F238E27FC236}">
              <a16:creationId xmlns:a16="http://schemas.microsoft.com/office/drawing/2014/main" id="{F2E73D04-F48E-8C5F-11FD-ACB5E1453097}"/>
            </a:ext>
          </a:extLst>
        </xdr:cNvPr>
        <xdr:cNvSpPr/>
      </xdr:nvSpPr>
      <xdr:spPr>
        <a:xfrm>
          <a:off x="3667686" y="3104591"/>
          <a:ext cx="528918" cy="533400"/>
        </a:xfrm>
        <a:prstGeom prst="ellipse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ru-RU" sz="1800">
              <a:solidFill>
                <a:schemeClr val="tx1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1</a:t>
          </a:r>
        </a:p>
      </xdr:txBody>
    </xdr:sp>
    <xdr:clientData/>
  </xdr:twoCellAnchor>
  <xdr:oneCellAnchor>
    <xdr:from>
      <xdr:col>9</xdr:col>
      <xdr:colOff>425825</xdr:colOff>
      <xdr:row>21</xdr:row>
      <xdr:rowOff>56029</xdr:rowOff>
    </xdr:from>
    <xdr:ext cx="495457" cy="298800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D16B1A15-EC02-4C42-C6C1-56DD2A4482DF}"/>
            </a:ext>
          </a:extLst>
        </xdr:cNvPr>
        <xdr:cNvSpPr txBox="1"/>
      </xdr:nvSpPr>
      <xdr:spPr>
        <a:xfrm>
          <a:off x="5871884" y="4056529"/>
          <a:ext cx="495457" cy="29880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ru-RU" sz="1400">
              <a:latin typeface="Times New Roman" panose="02020603050405020304" pitchFamily="18" charset="0"/>
              <a:cs typeface="Times New Roman" panose="02020603050405020304" pitchFamily="18" charset="0"/>
            </a:rPr>
            <a:t>В=2</a:t>
          </a:r>
        </a:p>
      </xdr:txBody>
    </xdr:sp>
    <xdr:clientData/>
  </xdr:oneCellAnchor>
  <xdr:twoCellAnchor>
    <xdr:from>
      <xdr:col>6</xdr:col>
      <xdr:colOff>488440</xdr:colOff>
      <xdr:row>13</xdr:row>
      <xdr:rowOff>3129</xdr:rowOff>
    </xdr:from>
    <xdr:to>
      <xdr:col>8</xdr:col>
      <xdr:colOff>210809</xdr:colOff>
      <xdr:row>16</xdr:row>
      <xdr:rowOff>134706</xdr:rowOff>
    </xdr:to>
    <xdr:cxnSp macro="">
      <xdr:nvCxnSpPr>
        <xdr:cNvPr id="5" name="Прямая со стрелкой 4">
          <a:extLst>
            <a:ext uri="{FF2B5EF4-FFF2-40B4-BE49-F238E27FC236}">
              <a16:creationId xmlns:a16="http://schemas.microsoft.com/office/drawing/2014/main" id="{A1B700E6-B752-4846-C7C4-FF6032001B16}"/>
            </a:ext>
          </a:extLst>
        </xdr:cNvPr>
        <xdr:cNvCxnSpPr>
          <a:stCxn id="2" idx="7"/>
          <a:endCxn id="10" idx="3"/>
        </xdr:cNvCxnSpPr>
      </xdr:nvCxnSpPr>
      <xdr:spPr>
        <a:xfrm flipV="1">
          <a:off x="4119146" y="2479629"/>
          <a:ext cx="932604" cy="703077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7</xdr:col>
      <xdr:colOff>6723</xdr:colOff>
      <xdr:row>13</xdr:row>
      <xdr:rowOff>40340</xdr:rowOff>
    </xdr:from>
    <xdr:ext cx="505331" cy="298800"/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A46A7C88-CC27-4E08-BD35-A2779EFF3CDD}"/>
            </a:ext>
          </a:extLst>
        </xdr:cNvPr>
        <xdr:cNvSpPr txBox="1"/>
      </xdr:nvSpPr>
      <xdr:spPr>
        <a:xfrm>
          <a:off x="4242547" y="2516840"/>
          <a:ext cx="505331" cy="29880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ru-RU" sz="1400">
              <a:latin typeface="Times New Roman" panose="02020603050405020304" pitchFamily="18" charset="0"/>
              <a:cs typeface="Times New Roman" panose="02020603050405020304" pitchFamily="18" charset="0"/>
            </a:rPr>
            <a:t>А=6</a:t>
          </a:r>
        </a:p>
      </xdr:txBody>
    </xdr:sp>
    <xdr:clientData/>
  </xdr:oneCellAnchor>
  <xdr:twoCellAnchor>
    <xdr:from>
      <xdr:col>8</xdr:col>
      <xdr:colOff>133351</xdr:colOff>
      <xdr:row>10</xdr:row>
      <xdr:rowOff>119344</xdr:rowOff>
    </xdr:from>
    <xdr:to>
      <xdr:col>9</xdr:col>
      <xdr:colOff>57151</xdr:colOff>
      <xdr:row>13</xdr:row>
      <xdr:rowOff>81244</xdr:rowOff>
    </xdr:to>
    <xdr:sp macro="" textlink="">
      <xdr:nvSpPr>
        <xdr:cNvPr id="10" name="Овал 9">
          <a:extLst>
            <a:ext uri="{FF2B5EF4-FFF2-40B4-BE49-F238E27FC236}">
              <a16:creationId xmlns:a16="http://schemas.microsoft.com/office/drawing/2014/main" id="{6B6D67F2-B2E4-40B5-B412-6B875C76F3FF}"/>
            </a:ext>
          </a:extLst>
        </xdr:cNvPr>
        <xdr:cNvSpPr/>
      </xdr:nvSpPr>
      <xdr:spPr>
        <a:xfrm>
          <a:off x="4974292" y="2024344"/>
          <a:ext cx="528918" cy="533400"/>
        </a:xfrm>
        <a:prstGeom prst="ellipse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ru-RU" sz="1800">
              <a:solidFill>
                <a:schemeClr val="tx1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2</a:t>
          </a:r>
        </a:p>
      </xdr:txBody>
    </xdr:sp>
    <xdr:clientData/>
  </xdr:twoCellAnchor>
  <xdr:oneCellAnchor>
    <xdr:from>
      <xdr:col>7</xdr:col>
      <xdr:colOff>309284</xdr:colOff>
      <xdr:row>20</xdr:row>
      <xdr:rowOff>29135</xdr:rowOff>
    </xdr:from>
    <xdr:ext cx="478785" cy="298800"/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CE85B08E-37E2-4854-8871-1B38D2A6C0EB}"/>
            </a:ext>
          </a:extLst>
        </xdr:cNvPr>
        <xdr:cNvSpPr txBox="1"/>
      </xdr:nvSpPr>
      <xdr:spPr>
        <a:xfrm>
          <a:off x="4545108" y="3839135"/>
          <a:ext cx="478785" cy="29880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ru-RU" sz="1400">
              <a:latin typeface="Times New Roman" panose="02020603050405020304" pitchFamily="18" charset="0"/>
              <a:cs typeface="Times New Roman" panose="02020603050405020304" pitchFamily="18" charset="0"/>
            </a:rPr>
            <a:t>Б=1</a:t>
          </a:r>
        </a:p>
      </xdr:txBody>
    </xdr:sp>
    <xdr:clientData/>
  </xdr:oneCellAnchor>
  <xdr:twoCellAnchor>
    <xdr:from>
      <xdr:col>6</xdr:col>
      <xdr:colOff>488440</xdr:colOff>
      <xdr:row>18</xdr:row>
      <xdr:rowOff>130876</xdr:rowOff>
    </xdr:from>
    <xdr:to>
      <xdr:col>8</xdr:col>
      <xdr:colOff>289251</xdr:colOff>
      <xdr:row>24</xdr:row>
      <xdr:rowOff>6959</xdr:rowOff>
    </xdr:to>
    <xdr:cxnSp macro="">
      <xdr:nvCxnSpPr>
        <xdr:cNvPr id="13" name="Прямая со стрелкой 12">
          <a:extLst>
            <a:ext uri="{FF2B5EF4-FFF2-40B4-BE49-F238E27FC236}">
              <a16:creationId xmlns:a16="http://schemas.microsoft.com/office/drawing/2014/main" id="{2CD3EBD4-1170-45A5-9237-2A21F177557A}"/>
            </a:ext>
          </a:extLst>
        </xdr:cNvPr>
        <xdr:cNvCxnSpPr>
          <a:stCxn id="2" idx="5"/>
          <a:endCxn id="16" idx="1"/>
        </xdr:cNvCxnSpPr>
      </xdr:nvCxnSpPr>
      <xdr:spPr>
        <a:xfrm>
          <a:off x="4119146" y="3559876"/>
          <a:ext cx="1011046" cy="1019083"/>
        </a:xfrm>
        <a:prstGeom prst="straightConnector1">
          <a:avLst/>
        </a:prstGeom>
        <a:ln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211793</xdr:colOff>
      <xdr:row>23</xdr:row>
      <xdr:rowOff>119344</xdr:rowOff>
    </xdr:from>
    <xdr:to>
      <xdr:col>9</xdr:col>
      <xdr:colOff>135593</xdr:colOff>
      <xdr:row>26</xdr:row>
      <xdr:rowOff>81244</xdr:rowOff>
    </xdr:to>
    <xdr:sp macro="" textlink="">
      <xdr:nvSpPr>
        <xdr:cNvPr id="16" name="Овал 15">
          <a:extLst>
            <a:ext uri="{FF2B5EF4-FFF2-40B4-BE49-F238E27FC236}">
              <a16:creationId xmlns:a16="http://schemas.microsoft.com/office/drawing/2014/main" id="{51F67132-E413-4417-8CD2-7BD8FC5C770A}"/>
            </a:ext>
          </a:extLst>
        </xdr:cNvPr>
        <xdr:cNvSpPr/>
      </xdr:nvSpPr>
      <xdr:spPr>
        <a:xfrm>
          <a:off x="5052734" y="4500844"/>
          <a:ext cx="528918" cy="533400"/>
        </a:xfrm>
        <a:prstGeom prst="ellipse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ru-RU" sz="1800">
              <a:solidFill>
                <a:schemeClr val="tx1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3</a:t>
          </a:r>
        </a:p>
      </xdr:txBody>
    </xdr:sp>
    <xdr:clientData/>
  </xdr:twoCellAnchor>
  <xdr:twoCellAnchor>
    <xdr:from>
      <xdr:col>9</xdr:col>
      <xdr:colOff>57151</xdr:colOff>
      <xdr:row>12</xdr:row>
      <xdr:rowOff>5044</xdr:rowOff>
    </xdr:from>
    <xdr:to>
      <xdr:col>11</xdr:col>
      <xdr:colOff>39222</xdr:colOff>
      <xdr:row>12</xdr:row>
      <xdr:rowOff>22973</xdr:rowOff>
    </xdr:to>
    <xdr:cxnSp macro="">
      <xdr:nvCxnSpPr>
        <xdr:cNvPr id="20" name="Прямая со стрелкой 19">
          <a:extLst>
            <a:ext uri="{FF2B5EF4-FFF2-40B4-BE49-F238E27FC236}">
              <a16:creationId xmlns:a16="http://schemas.microsoft.com/office/drawing/2014/main" id="{E21CE0FD-3327-47CA-93CC-F65AFDD015AF}"/>
            </a:ext>
          </a:extLst>
        </xdr:cNvPr>
        <xdr:cNvCxnSpPr>
          <a:stCxn id="10" idx="6"/>
          <a:endCxn id="23" idx="2"/>
        </xdr:cNvCxnSpPr>
      </xdr:nvCxnSpPr>
      <xdr:spPr>
        <a:xfrm>
          <a:off x="5503210" y="2291044"/>
          <a:ext cx="1192306" cy="17929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39222</xdr:colOff>
      <xdr:row>10</xdr:row>
      <xdr:rowOff>137273</xdr:rowOff>
    </xdr:from>
    <xdr:to>
      <xdr:col>11</xdr:col>
      <xdr:colOff>568140</xdr:colOff>
      <xdr:row>13</xdr:row>
      <xdr:rowOff>99173</xdr:rowOff>
    </xdr:to>
    <xdr:sp macro="" textlink="">
      <xdr:nvSpPr>
        <xdr:cNvPr id="23" name="Овал 22">
          <a:extLst>
            <a:ext uri="{FF2B5EF4-FFF2-40B4-BE49-F238E27FC236}">
              <a16:creationId xmlns:a16="http://schemas.microsoft.com/office/drawing/2014/main" id="{16722648-C324-4CA4-8A25-8979809C3F4B}"/>
            </a:ext>
          </a:extLst>
        </xdr:cNvPr>
        <xdr:cNvSpPr/>
      </xdr:nvSpPr>
      <xdr:spPr>
        <a:xfrm>
          <a:off x="6695516" y="2042273"/>
          <a:ext cx="528918" cy="533400"/>
        </a:xfrm>
        <a:prstGeom prst="ellipse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ru-RU" sz="1800">
              <a:solidFill>
                <a:schemeClr val="tx1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5</a:t>
          </a:r>
        </a:p>
      </xdr:txBody>
    </xdr:sp>
    <xdr:clientData/>
  </xdr:twoCellAnchor>
  <xdr:oneCellAnchor>
    <xdr:from>
      <xdr:col>9</xdr:col>
      <xdr:colOff>484094</xdr:colOff>
      <xdr:row>10</xdr:row>
      <xdr:rowOff>103093</xdr:rowOff>
    </xdr:from>
    <xdr:ext cx="479490" cy="298800"/>
    <xdr:sp macro="" textlink="">
      <xdr:nvSpPr>
        <xdr:cNvPr id="26" name="TextBox 25">
          <a:extLst>
            <a:ext uri="{FF2B5EF4-FFF2-40B4-BE49-F238E27FC236}">
              <a16:creationId xmlns:a16="http://schemas.microsoft.com/office/drawing/2014/main" id="{A5E8ACE6-1828-4161-8309-76D4B143FA71}"/>
            </a:ext>
          </a:extLst>
        </xdr:cNvPr>
        <xdr:cNvSpPr txBox="1"/>
      </xdr:nvSpPr>
      <xdr:spPr>
        <a:xfrm>
          <a:off x="5930153" y="2008093"/>
          <a:ext cx="479490" cy="29880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ru-RU" sz="1400">
              <a:latin typeface="Times New Roman" panose="02020603050405020304" pitchFamily="18" charset="0"/>
              <a:cs typeface="Times New Roman" panose="02020603050405020304" pitchFamily="18" charset="0"/>
            </a:rPr>
            <a:t>Г=4</a:t>
          </a:r>
        </a:p>
      </xdr:txBody>
    </xdr:sp>
    <xdr:clientData/>
  </xdr:oneCellAnchor>
  <xdr:twoCellAnchor>
    <xdr:from>
      <xdr:col>9</xdr:col>
      <xdr:colOff>58135</xdr:colOff>
      <xdr:row>22</xdr:row>
      <xdr:rowOff>18491</xdr:rowOff>
    </xdr:from>
    <xdr:to>
      <xdr:col>11</xdr:col>
      <xdr:colOff>23533</xdr:colOff>
      <xdr:row>24</xdr:row>
      <xdr:rowOff>6959</xdr:rowOff>
    </xdr:to>
    <xdr:cxnSp macro="">
      <xdr:nvCxnSpPr>
        <xdr:cNvPr id="27" name="Прямая со стрелкой 26">
          <a:extLst>
            <a:ext uri="{FF2B5EF4-FFF2-40B4-BE49-F238E27FC236}">
              <a16:creationId xmlns:a16="http://schemas.microsoft.com/office/drawing/2014/main" id="{9B01EBE9-ED5B-4E33-A986-AE03D64EF5D9}"/>
            </a:ext>
          </a:extLst>
        </xdr:cNvPr>
        <xdr:cNvCxnSpPr>
          <a:stCxn id="16" idx="7"/>
          <a:endCxn id="29" idx="2"/>
        </xdr:cNvCxnSpPr>
      </xdr:nvCxnSpPr>
      <xdr:spPr>
        <a:xfrm flipV="1">
          <a:off x="5504194" y="4209491"/>
          <a:ext cx="1175633" cy="369468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23533</xdr:colOff>
      <xdr:row>20</xdr:row>
      <xdr:rowOff>132791</xdr:rowOff>
    </xdr:from>
    <xdr:to>
      <xdr:col>11</xdr:col>
      <xdr:colOff>552451</xdr:colOff>
      <xdr:row>23</xdr:row>
      <xdr:rowOff>94691</xdr:rowOff>
    </xdr:to>
    <xdr:sp macro="" textlink="">
      <xdr:nvSpPr>
        <xdr:cNvPr id="29" name="Овал 28">
          <a:extLst>
            <a:ext uri="{FF2B5EF4-FFF2-40B4-BE49-F238E27FC236}">
              <a16:creationId xmlns:a16="http://schemas.microsoft.com/office/drawing/2014/main" id="{37942BF6-D1AA-4D73-859A-069995536703}"/>
            </a:ext>
          </a:extLst>
        </xdr:cNvPr>
        <xdr:cNvSpPr/>
      </xdr:nvSpPr>
      <xdr:spPr>
        <a:xfrm>
          <a:off x="6679827" y="3942791"/>
          <a:ext cx="528918" cy="533400"/>
        </a:xfrm>
        <a:prstGeom prst="ellipse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ru-RU" sz="1800">
              <a:solidFill>
                <a:schemeClr val="tx1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4</a:t>
          </a:r>
        </a:p>
      </xdr:txBody>
    </xdr:sp>
    <xdr:clientData/>
  </xdr:twoCellAnchor>
  <xdr:twoCellAnchor>
    <xdr:from>
      <xdr:col>11</xdr:col>
      <xdr:colOff>490682</xdr:colOff>
      <xdr:row>13</xdr:row>
      <xdr:rowOff>21058</xdr:rowOff>
    </xdr:from>
    <xdr:to>
      <xdr:col>12</xdr:col>
      <xdr:colOff>493197</xdr:colOff>
      <xdr:row>16</xdr:row>
      <xdr:rowOff>31612</xdr:rowOff>
    </xdr:to>
    <xdr:cxnSp macro="">
      <xdr:nvCxnSpPr>
        <xdr:cNvPr id="34" name="Прямая со стрелкой 33">
          <a:extLst>
            <a:ext uri="{FF2B5EF4-FFF2-40B4-BE49-F238E27FC236}">
              <a16:creationId xmlns:a16="http://schemas.microsoft.com/office/drawing/2014/main" id="{6DB6CE1A-DB58-4646-9EA3-32494CB46FD0}"/>
            </a:ext>
          </a:extLst>
        </xdr:cNvPr>
        <xdr:cNvCxnSpPr>
          <a:stCxn id="23" idx="5"/>
          <a:endCxn id="43" idx="1"/>
        </xdr:cNvCxnSpPr>
      </xdr:nvCxnSpPr>
      <xdr:spPr>
        <a:xfrm>
          <a:off x="7146976" y="2497558"/>
          <a:ext cx="607633" cy="582054"/>
        </a:xfrm>
        <a:prstGeom prst="straightConnector1">
          <a:avLst/>
        </a:prstGeom>
        <a:ln>
          <a:solidFill>
            <a:schemeClr val="tx1"/>
          </a:solidFill>
          <a:prstDash val="dash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474993</xdr:colOff>
      <xdr:row>18</xdr:row>
      <xdr:rowOff>27782</xdr:rowOff>
    </xdr:from>
    <xdr:to>
      <xdr:col>12</xdr:col>
      <xdr:colOff>493197</xdr:colOff>
      <xdr:row>21</xdr:row>
      <xdr:rowOff>20406</xdr:rowOff>
    </xdr:to>
    <xdr:cxnSp macro="">
      <xdr:nvCxnSpPr>
        <xdr:cNvPr id="40" name="Прямая со стрелкой 39">
          <a:extLst>
            <a:ext uri="{FF2B5EF4-FFF2-40B4-BE49-F238E27FC236}">
              <a16:creationId xmlns:a16="http://schemas.microsoft.com/office/drawing/2014/main" id="{03B6F35B-F11B-4818-A702-965D273B1B7B}"/>
            </a:ext>
          </a:extLst>
        </xdr:cNvPr>
        <xdr:cNvCxnSpPr>
          <a:stCxn id="29" idx="7"/>
          <a:endCxn id="43" idx="3"/>
        </xdr:cNvCxnSpPr>
      </xdr:nvCxnSpPr>
      <xdr:spPr>
        <a:xfrm flipV="1">
          <a:off x="7131287" y="3456782"/>
          <a:ext cx="623322" cy="564124"/>
        </a:xfrm>
        <a:prstGeom prst="straightConnector1">
          <a:avLst/>
        </a:prstGeom>
        <a:ln>
          <a:solidFill>
            <a:schemeClr val="tx1"/>
          </a:solidFill>
          <a:prstDash val="dash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415739</xdr:colOff>
      <xdr:row>15</xdr:row>
      <xdr:rowOff>143997</xdr:rowOff>
    </xdr:from>
    <xdr:to>
      <xdr:col>13</xdr:col>
      <xdr:colOff>339540</xdr:colOff>
      <xdr:row>18</xdr:row>
      <xdr:rowOff>105897</xdr:rowOff>
    </xdr:to>
    <xdr:sp macro="" textlink="">
      <xdr:nvSpPr>
        <xdr:cNvPr id="43" name="Овал 42">
          <a:extLst>
            <a:ext uri="{FF2B5EF4-FFF2-40B4-BE49-F238E27FC236}">
              <a16:creationId xmlns:a16="http://schemas.microsoft.com/office/drawing/2014/main" id="{B5C5C7EE-CBBA-4FBA-A484-B392723705EA}"/>
            </a:ext>
          </a:extLst>
        </xdr:cNvPr>
        <xdr:cNvSpPr/>
      </xdr:nvSpPr>
      <xdr:spPr>
        <a:xfrm>
          <a:off x="7677151" y="3001497"/>
          <a:ext cx="528918" cy="533400"/>
        </a:xfrm>
        <a:prstGeom prst="ellipse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ru-RU" sz="1800">
              <a:solidFill>
                <a:schemeClr val="tx1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6</a:t>
          </a:r>
        </a:p>
      </xdr:txBody>
    </xdr:sp>
    <xdr:clientData/>
  </xdr:twoCellAnchor>
  <xdr:twoCellAnchor>
    <xdr:from>
      <xdr:col>13</xdr:col>
      <xdr:colOff>295700</xdr:colOff>
      <xdr:row>12</xdr:row>
      <xdr:rowOff>76762</xdr:rowOff>
    </xdr:from>
    <xdr:to>
      <xdr:col>15</xdr:col>
      <xdr:colOff>59391</xdr:colOff>
      <xdr:row>16</xdr:row>
      <xdr:rowOff>31612</xdr:rowOff>
    </xdr:to>
    <xdr:cxnSp macro="">
      <xdr:nvCxnSpPr>
        <xdr:cNvPr id="47" name="Прямая со стрелкой 46">
          <a:extLst>
            <a:ext uri="{FF2B5EF4-FFF2-40B4-BE49-F238E27FC236}">
              <a16:creationId xmlns:a16="http://schemas.microsoft.com/office/drawing/2014/main" id="{EAB676CD-86BC-4325-9B37-78230896C358}"/>
            </a:ext>
          </a:extLst>
        </xdr:cNvPr>
        <xdr:cNvCxnSpPr>
          <a:cxnSpLocks/>
          <a:endCxn id="73" idx="2"/>
        </xdr:cNvCxnSpPr>
      </xdr:nvCxnSpPr>
      <xdr:spPr>
        <a:xfrm flipV="1">
          <a:off x="8162229" y="2362762"/>
          <a:ext cx="973927" cy="716850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13</xdr:col>
      <xdr:colOff>394446</xdr:colOff>
      <xdr:row>12</xdr:row>
      <xdr:rowOff>159122</xdr:rowOff>
    </xdr:from>
    <xdr:ext cx="498150" cy="298800"/>
    <xdr:sp macro="" textlink="">
      <xdr:nvSpPr>
        <xdr:cNvPr id="53" name="TextBox 52">
          <a:extLst>
            <a:ext uri="{FF2B5EF4-FFF2-40B4-BE49-F238E27FC236}">
              <a16:creationId xmlns:a16="http://schemas.microsoft.com/office/drawing/2014/main" id="{E9F309EB-BBF8-4E47-AFA6-D245B7359498}"/>
            </a:ext>
          </a:extLst>
        </xdr:cNvPr>
        <xdr:cNvSpPr txBox="1"/>
      </xdr:nvSpPr>
      <xdr:spPr>
        <a:xfrm>
          <a:off x="8260975" y="2445122"/>
          <a:ext cx="498150" cy="29880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ru-RU" sz="1400">
              <a:latin typeface="Times New Roman" panose="02020603050405020304" pitchFamily="18" charset="0"/>
              <a:cs typeface="Times New Roman" panose="02020603050405020304" pitchFamily="18" charset="0"/>
            </a:rPr>
            <a:t>Д=5</a:t>
          </a:r>
        </a:p>
      </xdr:txBody>
    </xdr:sp>
    <xdr:clientData/>
  </xdr:oneCellAnchor>
  <xdr:twoCellAnchor>
    <xdr:from>
      <xdr:col>8</xdr:col>
      <xdr:colOff>584811</xdr:colOff>
      <xdr:row>13</xdr:row>
      <xdr:rowOff>3129</xdr:rowOff>
    </xdr:from>
    <xdr:to>
      <xdr:col>13</xdr:col>
      <xdr:colOff>186156</xdr:colOff>
      <xdr:row>24</xdr:row>
      <xdr:rowOff>4719</xdr:rowOff>
    </xdr:to>
    <xdr:cxnSp macro="">
      <xdr:nvCxnSpPr>
        <xdr:cNvPr id="55" name="Прямая со стрелкой 54">
          <a:extLst>
            <a:ext uri="{FF2B5EF4-FFF2-40B4-BE49-F238E27FC236}">
              <a16:creationId xmlns:a16="http://schemas.microsoft.com/office/drawing/2014/main" id="{19D12CE8-2B8A-4058-9EC1-1F59491EC294}"/>
            </a:ext>
          </a:extLst>
        </xdr:cNvPr>
        <xdr:cNvCxnSpPr>
          <a:stCxn id="10" idx="5"/>
          <a:endCxn id="64" idx="1"/>
        </xdr:cNvCxnSpPr>
      </xdr:nvCxnSpPr>
      <xdr:spPr>
        <a:xfrm>
          <a:off x="5425752" y="2479629"/>
          <a:ext cx="2626933" cy="2097090"/>
        </a:xfrm>
        <a:prstGeom prst="straightConnector1">
          <a:avLst/>
        </a:prstGeom>
        <a:ln>
          <a:solidFill>
            <a:schemeClr val="tx1"/>
          </a:solidFill>
          <a:prstDash val="dash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135593</xdr:colOff>
      <xdr:row>25</xdr:row>
      <xdr:rowOff>2804</xdr:rowOff>
    </xdr:from>
    <xdr:to>
      <xdr:col>13</xdr:col>
      <xdr:colOff>108698</xdr:colOff>
      <xdr:row>25</xdr:row>
      <xdr:rowOff>5044</xdr:rowOff>
    </xdr:to>
    <xdr:cxnSp macro="">
      <xdr:nvCxnSpPr>
        <xdr:cNvPr id="58" name="Прямая со стрелкой 57">
          <a:extLst>
            <a:ext uri="{FF2B5EF4-FFF2-40B4-BE49-F238E27FC236}">
              <a16:creationId xmlns:a16="http://schemas.microsoft.com/office/drawing/2014/main" id="{972DBACC-BE86-4E76-84DD-E32AB61C998D}"/>
            </a:ext>
          </a:extLst>
        </xdr:cNvPr>
        <xdr:cNvCxnSpPr>
          <a:stCxn id="16" idx="6"/>
          <a:endCxn id="64" idx="2"/>
        </xdr:cNvCxnSpPr>
      </xdr:nvCxnSpPr>
      <xdr:spPr>
        <a:xfrm flipV="1">
          <a:off x="5581652" y="4765304"/>
          <a:ext cx="2393575" cy="2240"/>
        </a:xfrm>
        <a:prstGeom prst="straightConnector1">
          <a:avLst/>
        </a:prstGeom>
        <a:ln>
          <a:solidFill>
            <a:schemeClr val="tx1"/>
          </a:solidFill>
          <a:prstDash val="dash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108698</xdr:colOff>
      <xdr:row>23</xdr:row>
      <xdr:rowOff>117104</xdr:rowOff>
    </xdr:from>
    <xdr:to>
      <xdr:col>14</xdr:col>
      <xdr:colOff>32498</xdr:colOff>
      <xdr:row>26</xdr:row>
      <xdr:rowOff>79004</xdr:rowOff>
    </xdr:to>
    <xdr:sp macro="" textlink="">
      <xdr:nvSpPr>
        <xdr:cNvPr id="64" name="Овал 63">
          <a:extLst>
            <a:ext uri="{FF2B5EF4-FFF2-40B4-BE49-F238E27FC236}">
              <a16:creationId xmlns:a16="http://schemas.microsoft.com/office/drawing/2014/main" id="{95C2917B-534D-4D2B-8160-151D1AF66516}"/>
            </a:ext>
          </a:extLst>
        </xdr:cNvPr>
        <xdr:cNvSpPr/>
      </xdr:nvSpPr>
      <xdr:spPr>
        <a:xfrm>
          <a:off x="7975227" y="4498604"/>
          <a:ext cx="528918" cy="533400"/>
        </a:xfrm>
        <a:prstGeom prst="ellipse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ru-RU" sz="1800">
              <a:solidFill>
                <a:schemeClr val="tx1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7</a:t>
          </a:r>
        </a:p>
      </xdr:txBody>
    </xdr:sp>
    <xdr:clientData/>
  </xdr:twoCellAnchor>
  <xdr:twoCellAnchor>
    <xdr:from>
      <xdr:col>13</xdr:col>
      <xdr:colOff>262082</xdr:colOff>
      <xdr:row>18</xdr:row>
      <xdr:rowOff>27782</xdr:rowOff>
    </xdr:from>
    <xdr:to>
      <xdr:col>14</xdr:col>
      <xdr:colOff>570380</xdr:colOff>
      <xdr:row>21</xdr:row>
      <xdr:rowOff>27456</xdr:rowOff>
    </xdr:to>
    <xdr:cxnSp macro="">
      <xdr:nvCxnSpPr>
        <xdr:cNvPr id="69" name="Прямая со стрелкой 68">
          <a:extLst>
            <a:ext uri="{FF2B5EF4-FFF2-40B4-BE49-F238E27FC236}">
              <a16:creationId xmlns:a16="http://schemas.microsoft.com/office/drawing/2014/main" id="{64ADF251-05ED-4F3C-92B8-3189E840ED48}"/>
            </a:ext>
          </a:extLst>
        </xdr:cNvPr>
        <xdr:cNvCxnSpPr>
          <a:stCxn id="43" idx="5"/>
          <a:endCxn id="86" idx="2"/>
        </xdr:cNvCxnSpPr>
      </xdr:nvCxnSpPr>
      <xdr:spPr>
        <a:xfrm>
          <a:off x="8128611" y="3456782"/>
          <a:ext cx="913416" cy="571174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13</xdr:col>
      <xdr:colOff>255494</xdr:colOff>
      <xdr:row>19</xdr:row>
      <xdr:rowOff>53788</xdr:rowOff>
    </xdr:from>
    <xdr:ext cx="485326" cy="298800"/>
    <xdr:sp macro="" textlink="">
      <xdr:nvSpPr>
        <xdr:cNvPr id="72" name="TextBox 71">
          <a:extLst>
            <a:ext uri="{FF2B5EF4-FFF2-40B4-BE49-F238E27FC236}">
              <a16:creationId xmlns:a16="http://schemas.microsoft.com/office/drawing/2014/main" id="{F090BCD7-6356-47DD-A939-A41B46A0AE6F}"/>
            </a:ext>
          </a:extLst>
        </xdr:cNvPr>
        <xdr:cNvSpPr txBox="1"/>
      </xdr:nvSpPr>
      <xdr:spPr>
        <a:xfrm>
          <a:off x="8122023" y="3673288"/>
          <a:ext cx="485326" cy="29880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ru-RU" sz="1400">
              <a:latin typeface="Times New Roman" panose="02020603050405020304" pitchFamily="18" charset="0"/>
              <a:cs typeface="Times New Roman" panose="02020603050405020304" pitchFamily="18" charset="0"/>
            </a:rPr>
            <a:t>Е=6</a:t>
          </a:r>
        </a:p>
      </xdr:txBody>
    </xdr:sp>
    <xdr:clientData/>
  </xdr:oneCellAnchor>
  <xdr:twoCellAnchor>
    <xdr:from>
      <xdr:col>15</xdr:col>
      <xdr:colOff>59391</xdr:colOff>
      <xdr:row>11</xdr:row>
      <xdr:rowOff>562</xdr:rowOff>
    </xdr:from>
    <xdr:to>
      <xdr:col>15</xdr:col>
      <xdr:colOff>588309</xdr:colOff>
      <xdr:row>13</xdr:row>
      <xdr:rowOff>152962</xdr:rowOff>
    </xdr:to>
    <xdr:sp macro="" textlink="">
      <xdr:nvSpPr>
        <xdr:cNvPr id="73" name="Овал 72">
          <a:extLst>
            <a:ext uri="{FF2B5EF4-FFF2-40B4-BE49-F238E27FC236}">
              <a16:creationId xmlns:a16="http://schemas.microsoft.com/office/drawing/2014/main" id="{237A81D4-ABCF-4497-8615-3A4898F82568}"/>
            </a:ext>
          </a:extLst>
        </xdr:cNvPr>
        <xdr:cNvSpPr/>
      </xdr:nvSpPr>
      <xdr:spPr>
        <a:xfrm>
          <a:off x="9136156" y="2096062"/>
          <a:ext cx="528918" cy="533400"/>
        </a:xfrm>
        <a:prstGeom prst="ellipse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ru-RU" sz="1800">
              <a:solidFill>
                <a:schemeClr val="tx1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8</a:t>
          </a:r>
        </a:p>
      </xdr:txBody>
    </xdr:sp>
    <xdr:clientData/>
  </xdr:twoCellAnchor>
  <xdr:twoCellAnchor>
    <xdr:from>
      <xdr:col>14</xdr:col>
      <xdr:colOff>32498</xdr:colOff>
      <xdr:row>25</xdr:row>
      <xdr:rowOff>2804</xdr:rowOff>
    </xdr:from>
    <xdr:to>
      <xdr:col>20</xdr:col>
      <xdr:colOff>32232</xdr:colOff>
      <xdr:row>30</xdr:row>
      <xdr:rowOff>80947</xdr:rowOff>
    </xdr:to>
    <xdr:cxnSp macro="">
      <xdr:nvCxnSpPr>
        <xdr:cNvPr id="81" name="Прямая со стрелкой 80">
          <a:extLst>
            <a:ext uri="{FF2B5EF4-FFF2-40B4-BE49-F238E27FC236}">
              <a16:creationId xmlns:a16="http://schemas.microsoft.com/office/drawing/2014/main" id="{E1991325-B3D3-4F6C-844E-EDD857EF85AE}"/>
            </a:ext>
          </a:extLst>
        </xdr:cNvPr>
        <xdr:cNvCxnSpPr>
          <a:stCxn id="64" idx="6"/>
          <a:endCxn id="140" idx="1"/>
        </xdr:cNvCxnSpPr>
      </xdr:nvCxnSpPr>
      <xdr:spPr>
        <a:xfrm>
          <a:off x="8504145" y="4765304"/>
          <a:ext cx="3630440" cy="1030643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14</xdr:col>
      <xdr:colOff>340659</xdr:colOff>
      <xdr:row>23</xdr:row>
      <xdr:rowOff>116541</xdr:rowOff>
    </xdr:from>
    <xdr:ext cx="505331" cy="298800"/>
    <xdr:sp macro="" textlink="">
      <xdr:nvSpPr>
        <xdr:cNvPr id="84" name="TextBox 83">
          <a:extLst>
            <a:ext uri="{FF2B5EF4-FFF2-40B4-BE49-F238E27FC236}">
              <a16:creationId xmlns:a16="http://schemas.microsoft.com/office/drawing/2014/main" id="{51052E5E-6903-45B2-970C-38A88D3047D6}"/>
            </a:ext>
          </a:extLst>
        </xdr:cNvPr>
        <xdr:cNvSpPr txBox="1"/>
      </xdr:nvSpPr>
      <xdr:spPr>
        <a:xfrm>
          <a:off x="8812306" y="4498041"/>
          <a:ext cx="505331" cy="29880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ru-RU" sz="1400">
              <a:latin typeface="Times New Roman" panose="02020603050405020304" pitchFamily="18" charset="0"/>
              <a:cs typeface="Times New Roman" panose="02020603050405020304" pitchFamily="18" charset="0"/>
            </a:rPr>
            <a:t>Н=7</a:t>
          </a:r>
        </a:p>
      </xdr:txBody>
    </xdr:sp>
    <xdr:clientData/>
  </xdr:oneCellAnchor>
  <xdr:twoCellAnchor>
    <xdr:from>
      <xdr:col>14</xdr:col>
      <xdr:colOff>570380</xdr:colOff>
      <xdr:row>19</xdr:row>
      <xdr:rowOff>141756</xdr:rowOff>
    </xdr:from>
    <xdr:to>
      <xdr:col>15</xdr:col>
      <xdr:colOff>494180</xdr:colOff>
      <xdr:row>22</xdr:row>
      <xdr:rowOff>103656</xdr:rowOff>
    </xdr:to>
    <xdr:sp macro="" textlink="">
      <xdr:nvSpPr>
        <xdr:cNvPr id="86" name="Овал 85">
          <a:extLst>
            <a:ext uri="{FF2B5EF4-FFF2-40B4-BE49-F238E27FC236}">
              <a16:creationId xmlns:a16="http://schemas.microsoft.com/office/drawing/2014/main" id="{BB43BDE4-25F9-490A-91F0-919DBC1D630C}"/>
            </a:ext>
          </a:extLst>
        </xdr:cNvPr>
        <xdr:cNvSpPr/>
      </xdr:nvSpPr>
      <xdr:spPr>
        <a:xfrm>
          <a:off x="9042027" y="3761256"/>
          <a:ext cx="528918" cy="533400"/>
        </a:xfrm>
        <a:prstGeom prst="ellipse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ru-RU" sz="1800">
              <a:solidFill>
                <a:schemeClr val="tx1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9</a:t>
          </a:r>
        </a:p>
      </xdr:txBody>
    </xdr:sp>
    <xdr:clientData/>
  </xdr:twoCellAnchor>
  <xdr:twoCellAnchor>
    <xdr:from>
      <xdr:col>15</xdr:col>
      <xdr:colOff>416722</xdr:colOff>
      <xdr:row>17</xdr:row>
      <xdr:rowOff>141491</xdr:rowOff>
    </xdr:from>
    <xdr:to>
      <xdr:col>16</xdr:col>
      <xdr:colOff>467020</xdr:colOff>
      <xdr:row>20</xdr:row>
      <xdr:rowOff>29371</xdr:rowOff>
    </xdr:to>
    <xdr:cxnSp macro="">
      <xdr:nvCxnSpPr>
        <xdr:cNvPr id="88" name="Прямая со стрелкой 87">
          <a:extLst>
            <a:ext uri="{FF2B5EF4-FFF2-40B4-BE49-F238E27FC236}">
              <a16:creationId xmlns:a16="http://schemas.microsoft.com/office/drawing/2014/main" id="{0C472CFB-BE57-49BD-9950-46E8916E6D7F}"/>
            </a:ext>
          </a:extLst>
        </xdr:cNvPr>
        <xdr:cNvCxnSpPr>
          <a:stCxn id="86" idx="7"/>
          <a:endCxn id="95" idx="3"/>
        </xdr:cNvCxnSpPr>
      </xdr:nvCxnSpPr>
      <xdr:spPr>
        <a:xfrm flipV="1">
          <a:off x="9493487" y="3379991"/>
          <a:ext cx="655415" cy="459380"/>
        </a:xfrm>
        <a:prstGeom prst="straightConnector1">
          <a:avLst/>
        </a:prstGeom>
        <a:ln>
          <a:solidFill>
            <a:schemeClr val="tx1"/>
          </a:solidFill>
          <a:prstDash val="dash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510851</xdr:colOff>
      <xdr:row>13</xdr:row>
      <xdr:rowOff>74847</xdr:rowOff>
    </xdr:from>
    <xdr:to>
      <xdr:col>16</xdr:col>
      <xdr:colOff>467020</xdr:colOff>
      <xdr:row>15</xdr:row>
      <xdr:rowOff>123530</xdr:rowOff>
    </xdr:to>
    <xdr:cxnSp macro="">
      <xdr:nvCxnSpPr>
        <xdr:cNvPr id="90" name="Прямая со стрелкой 89">
          <a:extLst>
            <a:ext uri="{FF2B5EF4-FFF2-40B4-BE49-F238E27FC236}">
              <a16:creationId xmlns:a16="http://schemas.microsoft.com/office/drawing/2014/main" id="{F503A5B5-F204-4ACD-8B00-B7501F99C108}"/>
            </a:ext>
          </a:extLst>
        </xdr:cNvPr>
        <xdr:cNvCxnSpPr>
          <a:stCxn id="73" idx="5"/>
          <a:endCxn id="95" idx="1"/>
        </xdr:cNvCxnSpPr>
      </xdr:nvCxnSpPr>
      <xdr:spPr>
        <a:xfrm>
          <a:off x="9587616" y="2551347"/>
          <a:ext cx="561286" cy="429683"/>
        </a:xfrm>
        <a:prstGeom prst="straightConnector1">
          <a:avLst/>
        </a:prstGeom>
        <a:ln>
          <a:solidFill>
            <a:schemeClr val="tx1"/>
          </a:solidFill>
          <a:prstDash val="dash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379879</xdr:colOff>
      <xdr:row>15</xdr:row>
      <xdr:rowOff>40903</xdr:rowOff>
    </xdr:from>
    <xdr:to>
      <xdr:col>17</xdr:col>
      <xdr:colOff>369795</xdr:colOff>
      <xdr:row>18</xdr:row>
      <xdr:rowOff>33618</xdr:rowOff>
    </xdr:to>
    <xdr:sp macro="" textlink="">
      <xdr:nvSpPr>
        <xdr:cNvPr id="95" name="Овал 94">
          <a:extLst>
            <a:ext uri="{FF2B5EF4-FFF2-40B4-BE49-F238E27FC236}">
              <a16:creationId xmlns:a16="http://schemas.microsoft.com/office/drawing/2014/main" id="{81F87865-2FA0-4053-BB0D-B38C695D1875}"/>
            </a:ext>
          </a:extLst>
        </xdr:cNvPr>
        <xdr:cNvSpPr/>
      </xdr:nvSpPr>
      <xdr:spPr>
        <a:xfrm>
          <a:off x="10061761" y="2898403"/>
          <a:ext cx="595034" cy="564215"/>
        </a:xfrm>
        <a:prstGeom prst="ellipse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ru-RU" sz="1600">
              <a:solidFill>
                <a:schemeClr val="tx1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10</a:t>
          </a:r>
        </a:p>
      </xdr:txBody>
    </xdr:sp>
    <xdr:clientData/>
  </xdr:twoCellAnchor>
  <xdr:twoCellAnchor>
    <xdr:from>
      <xdr:col>17</xdr:col>
      <xdr:colOff>369795</xdr:colOff>
      <xdr:row>16</xdr:row>
      <xdr:rowOff>128029</xdr:rowOff>
    </xdr:from>
    <xdr:to>
      <xdr:col>19</xdr:col>
      <xdr:colOff>521074</xdr:colOff>
      <xdr:row>16</xdr:row>
      <xdr:rowOff>132511</xdr:rowOff>
    </xdr:to>
    <xdr:cxnSp macro="">
      <xdr:nvCxnSpPr>
        <xdr:cNvPr id="104" name="Прямая со стрелкой 103">
          <a:extLst>
            <a:ext uri="{FF2B5EF4-FFF2-40B4-BE49-F238E27FC236}">
              <a16:creationId xmlns:a16="http://schemas.microsoft.com/office/drawing/2014/main" id="{454E83CE-BE8B-4F1C-91A0-35A5A66B80D0}"/>
            </a:ext>
          </a:extLst>
        </xdr:cNvPr>
        <xdr:cNvCxnSpPr>
          <a:stCxn id="95" idx="6"/>
          <a:endCxn id="133" idx="2"/>
        </xdr:cNvCxnSpPr>
      </xdr:nvCxnSpPr>
      <xdr:spPr>
        <a:xfrm flipV="1">
          <a:off x="10656795" y="3176029"/>
          <a:ext cx="1361514" cy="4482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18</xdr:col>
      <xdr:colOff>56029</xdr:colOff>
      <xdr:row>15</xdr:row>
      <xdr:rowOff>22412</xdr:rowOff>
    </xdr:from>
    <xdr:ext cx="536557" cy="298800"/>
    <xdr:sp macro="" textlink="">
      <xdr:nvSpPr>
        <xdr:cNvPr id="114" name="TextBox 113">
          <a:extLst>
            <a:ext uri="{FF2B5EF4-FFF2-40B4-BE49-F238E27FC236}">
              <a16:creationId xmlns:a16="http://schemas.microsoft.com/office/drawing/2014/main" id="{2CB04DBA-D2B2-4D6B-B2CC-9291BD5E7D6B}"/>
            </a:ext>
          </a:extLst>
        </xdr:cNvPr>
        <xdr:cNvSpPr txBox="1"/>
      </xdr:nvSpPr>
      <xdr:spPr>
        <a:xfrm>
          <a:off x="10948147" y="2879912"/>
          <a:ext cx="536557" cy="29880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ru-RU" sz="1400">
              <a:latin typeface="Times New Roman" panose="02020603050405020304" pitchFamily="18" charset="0"/>
              <a:cs typeface="Times New Roman" panose="02020603050405020304" pitchFamily="18" charset="0"/>
            </a:rPr>
            <a:t>Ж=8</a:t>
          </a:r>
        </a:p>
      </xdr:txBody>
    </xdr:sp>
    <xdr:clientData/>
  </xdr:oneCellAnchor>
  <xdr:twoCellAnchor>
    <xdr:from>
      <xdr:col>10</xdr:col>
      <xdr:colOff>285749</xdr:colOff>
      <xdr:row>29</xdr:row>
      <xdr:rowOff>114861</xdr:rowOff>
    </xdr:from>
    <xdr:to>
      <xdr:col>11</xdr:col>
      <xdr:colOff>275665</xdr:colOff>
      <xdr:row>32</xdr:row>
      <xdr:rowOff>107576</xdr:rowOff>
    </xdr:to>
    <xdr:sp macro="" textlink="">
      <xdr:nvSpPr>
        <xdr:cNvPr id="115" name="Овал 114">
          <a:extLst>
            <a:ext uri="{FF2B5EF4-FFF2-40B4-BE49-F238E27FC236}">
              <a16:creationId xmlns:a16="http://schemas.microsoft.com/office/drawing/2014/main" id="{53A8F14F-65F4-42F9-8CDA-4E3A9D8B5392}"/>
            </a:ext>
          </a:extLst>
        </xdr:cNvPr>
        <xdr:cNvSpPr/>
      </xdr:nvSpPr>
      <xdr:spPr>
        <a:xfrm>
          <a:off x="6336925" y="5639361"/>
          <a:ext cx="595034" cy="564215"/>
        </a:xfrm>
        <a:prstGeom prst="ellipse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ru-RU" sz="1600">
              <a:solidFill>
                <a:schemeClr val="tx1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11</a:t>
          </a:r>
        </a:p>
      </xdr:txBody>
    </xdr:sp>
    <xdr:clientData/>
  </xdr:twoCellAnchor>
  <xdr:twoCellAnchor>
    <xdr:from>
      <xdr:col>9</xdr:col>
      <xdr:colOff>58135</xdr:colOff>
      <xdr:row>26</xdr:row>
      <xdr:rowOff>3129</xdr:rowOff>
    </xdr:from>
    <xdr:to>
      <xdr:col>10</xdr:col>
      <xdr:colOff>372890</xdr:colOff>
      <xdr:row>30</xdr:row>
      <xdr:rowOff>6988</xdr:rowOff>
    </xdr:to>
    <xdr:cxnSp macro="">
      <xdr:nvCxnSpPr>
        <xdr:cNvPr id="116" name="Прямая со стрелкой 115">
          <a:extLst>
            <a:ext uri="{FF2B5EF4-FFF2-40B4-BE49-F238E27FC236}">
              <a16:creationId xmlns:a16="http://schemas.microsoft.com/office/drawing/2014/main" id="{5E2F9F2D-B9FB-4EB1-8DC4-91A87341BD76}"/>
            </a:ext>
          </a:extLst>
        </xdr:cNvPr>
        <xdr:cNvCxnSpPr>
          <a:cxnSpLocks/>
          <a:stCxn id="16" idx="5"/>
          <a:endCxn id="115" idx="1"/>
        </xdr:cNvCxnSpPr>
      </xdr:nvCxnSpPr>
      <xdr:spPr>
        <a:xfrm>
          <a:off x="5504194" y="4956129"/>
          <a:ext cx="919872" cy="765859"/>
        </a:xfrm>
        <a:prstGeom prst="straightConnector1">
          <a:avLst/>
        </a:prstGeom>
        <a:ln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9</xdr:col>
      <xdr:colOff>522196</xdr:colOff>
      <xdr:row>26</xdr:row>
      <xdr:rowOff>163605</xdr:rowOff>
    </xdr:from>
    <xdr:ext cx="465640" cy="298800"/>
    <xdr:sp macro="" textlink="">
      <xdr:nvSpPr>
        <xdr:cNvPr id="121" name="TextBox 120">
          <a:extLst>
            <a:ext uri="{FF2B5EF4-FFF2-40B4-BE49-F238E27FC236}">
              <a16:creationId xmlns:a16="http://schemas.microsoft.com/office/drawing/2014/main" id="{B803362E-F3BD-48E2-997D-F56178FC90FB}"/>
            </a:ext>
          </a:extLst>
        </xdr:cNvPr>
        <xdr:cNvSpPr txBox="1"/>
      </xdr:nvSpPr>
      <xdr:spPr>
        <a:xfrm>
          <a:off x="5968255" y="5116605"/>
          <a:ext cx="465640" cy="29880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ru-RU" sz="1400">
              <a:latin typeface="Times New Roman" panose="02020603050405020304" pitchFamily="18" charset="0"/>
              <a:cs typeface="Times New Roman" panose="02020603050405020304" pitchFamily="18" charset="0"/>
            </a:rPr>
            <a:t>З=1</a:t>
          </a:r>
        </a:p>
      </xdr:txBody>
    </xdr:sp>
    <xdr:clientData/>
  </xdr:oneCellAnchor>
  <xdr:twoCellAnchor>
    <xdr:from>
      <xdr:col>11</xdr:col>
      <xdr:colOff>188375</xdr:colOff>
      <xdr:row>32</xdr:row>
      <xdr:rowOff>24949</xdr:rowOff>
    </xdr:from>
    <xdr:to>
      <xdr:col>23</xdr:col>
      <xdr:colOff>155208</xdr:colOff>
      <xdr:row>37</xdr:row>
      <xdr:rowOff>102691</xdr:rowOff>
    </xdr:to>
    <xdr:cxnSp macro="">
      <xdr:nvCxnSpPr>
        <xdr:cNvPr id="122" name="Прямая со стрелкой 121">
          <a:extLst>
            <a:ext uri="{FF2B5EF4-FFF2-40B4-BE49-F238E27FC236}">
              <a16:creationId xmlns:a16="http://schemas.microsoft.com/office/drawing/2014/main" id="{410E7326-BE5A-4399-9DCA-B6C82ABABE3D}"/>
            </a:ext>
          </a:extLst>
        </xdr:cNvPr>
        <xdr:cNvCxnSpPr>
          <a:cxnSpLocks/>
          <a:stCxn id="115" idx="5"/>
          <a:endCxn id="173" idx="3"/>
        </xdr:cNvCxnSpPr>
      </xdr:nvCxnSpPr>
      <xdr:spPr>
        <a:xfrm>
          <a:off x="6855875" y="6120949"/>
          <a:ext cx="7240469" cy="1030242"/>
        </a:xfrm>
        <a:prstGeom prst="straightConnector1">
          <a:avLst/>
        </a:prstGeom>
        <a:ln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15</xdr:col>
      <xdr:colOff>468960</xdr:colOff>
      <xdr:row>34</xdr:row>
      <xdr:rowOff>45026</xdr:rowOff>
    </xdr:from>
    <xdr:ext cx="505331" cy="298800"/>
    <xdr:sp macro="" textlink="">
      <xdr:nvSpPr>
        <xdr:cNvPr id="127" name="TextBox 126">
          <a:extLst>
            <a:ext uri="{FF2B5EF4-FFF2-40B4-BE49-F238E27FC236}">
              <a16:creationId xmlns:a16="http://schemas.microsoft.com/office/drawing/2014/main" id="{31B74DC7-9BE8-45E4-B363-771F7896434D}"/>
            </a:ext>
          </a:extLst>
        </xdr:cNvPr>
        <xdr:cNvSpPr txBox="1"/>
      </xdr:nvSpPr>
      <xdr:spPr>
        <a:xfrm>
          <a:off x="9561005" y="6522026"/>
          <a:ext cx="505331" cy="29880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ru-RU" sz="1400">
              <a:latin typeface="Times New Roman" panose="02020603050405020304" pitchFamily="18" charset="0"/>
              <a:cs typeface="Times New Roman" panose="02020603050405020304" pitchFamily="18" charset="0"/>
            </a:rPr>
            <a:t>И=2</a:t>
          </a:r>
        </a:p>
      </xdr:txBody>
    </xdr:sp>
    <xdr:clientData/>
  </xdr:oneCellAnchor>
  <xdr:twoCellAnchor>
    <xdr:from>
      <xdr:col>11</xdr:col>
      <xdr:colOff>275665</xdr:colOff>
      <xdr:row>31</xdr:row>
      <xdr:rowOff>15969</xdr:rowOff>
    </xdr:from>
    <xdr:to>
      <xdr:col>19</xdr:col>
      <xdr:colOff>550209</xdr:colOff>
      <xdr:row>31</xdr:row>
      <xdr:rowOff>89928</xdr:rowOff>
    </xdr:to>
    <xdr:cxnSp macro="">
      <xdr:nvCxnSpPr>
        <xdr:cNvPr id="130" name="Прямая со стрелкой 129">
          <a:extLst>
            <a:ext uri="{FF2B5EF4-FFF2-40B4-BE49-F238E27FC236}">
              <a16:creationId xmlns:a16="http://schemas.microsoft.com/office/drawing/2014/main" id="{EA9F319F-4FB4-4AD6-9E46-CE4AC9F784DE}"/>
            </a:ext>
          </a:extLst>
        </xdr:cNvPr>
        <xdr:cNvCxnSpPr>
          <a:stCxn id="115" idx="6"/>
          <a:endCxn id="140" idx="2"/>
        </xdr:cNvCxnSpPr>
      </xdr:nvCxnSpPr>
      <xdr:spPr>
        <a:xfrm>
          <a:off x="6931959" y="5921469"/>
          <a:ext cx="5115485" cy="73959"/>
        </a:xfrm>
        <a:prstGeom prst="straightConnector1">
          <a:avLst/>
        </a:prstGeom>
        <a:ln>
          <a:solidFill>
            <a:schemeClr val="tx1"/>
          </a:solidFill>
          <a:prstDash val="dash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521074</xdr:colOff>
      <xdr:row>15</xdr:row>
      <xdr:rowOff>36421</xdr:rowOff>
    </xdr:from>
    <xdr:to>
      <xdr:col>20</xdr:col>
      <xdr:colOff>510990</xdr:colOff>
      <xdr:row>18</xdr:row>
      <xdr:rowOff>29136</xdr:rowOff>
    </xdr:to>
    <xdr:sp macro="" textlink="">
      <xdr:nvSpPr>
        <xdr:cNvPr id="133" name="Овал 132">
          <a:extLst>
            <a:ext uri="{FF2B5EF4-FFF2-40B4-BE49-F238E27FC236}">
              <a16:creationId xmlns:a16="http://schemas.microsoft.com/office/drawing/2014/main" id="{190DFDA9-2480-441D-BFE0-983886DB48C6}"/>
            </a:ext>
          </a:extLst>
        </xdr:cNvPr>
        <xdr:cNvSpPr/>
      </xdr:nvSpPr>
      <xdr:spPr>
        <a:xfrm>
          <a:off x="12018309" y="2893921"/>
          <a:ext cx="595034" cy="564215"/>
        </a:xfrm>
        <a:prstGeom prst="ellipse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ru-RU" sz="1600">
              <a:solidFill>
                <a:schemeClr val="tx1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12</a:t>
          </a:r>
        </a:p>
      </xdr:txBody>
    </xdr:sp>
    <xdr:clientData/>
  </xdr:twoCellAnchor>
  <xdr:twoCellAnchor>
    <xdr:from>
      <xdr:col>20</xdr:col>
      <xdr:colOff>213473</xdr:colOff>
      <xdr:row>18</xdr:row>
      <xdr:rowOff>29136</xdr:rowOff>
    </xdr:from>
    <xdr:to>
      <xdr:col>20</xdr:col>
      <xdr:colOff>242608</xdr:colOff>
      <xdr:row>29</xdr:row>
      <xdr:rowOff>188820</xdr:rowOff>
    </xdr:to>
    <xdr:cxnSp macro="">
      <xdr:nvCxnSpPr>
        <xdr:cNvPr id="136" name="Прямая со стрелкой 135">
          <a:extLst>
            <a:ext uri="{FF2B5EF4-FFF2-40B4-BE49-F238E27FC236}">
              <a16:creationId xmlns:a16="http://schemas.microsoft.com/office/drawing/2014/main" id="{78CA3957-D0DB-4E0B-B026-5E65628D5E5C}"/>
            </a:ext>
          </a:extLst>
        </xdr:cNvPr>
        <xdr:cNvCxnSpPr>
          <a:stCxn id="133" idx="4"/>
          <a:endCxn id="140" idx="0"/>
        </xdr:cNvCxnSpPr>
      </xdr:nvCxnSpPr>
      <xdr:spPr>
        <a:xfrm>
          <a:off x="12315826" y="3458136"/>
          <a:ext cx="29135" cy="2255184"/>
        </a:xfrm>
        <a:prstGeom prst="straightConnector1">
          <a:avLst/>
        </a:prstGeom>
        <a:ln>
          <a:solidFill>
            <a:schemeClr val="tx1"/>
          </a:solidFill>
          <a:prstDash val="dash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550209</xdr:colOff>
      <xdr:row>29</xdr:row>
      <xdr:rowOff>188820</xdr:rowOff>
    </xdr:from>
    <xdr:to>
      <xdr:col>20</xdr:col>
      <xdr:colOff>540125</xdr:colOff>
      <xdr:row>32</xdr:row>
      <xdr:rowOff>181535</xdr:rowOff>
    </xdr:to>
    <xdr:sp macro="" textlink="">
      <xdr:nvSpPr>
        <xdr:cNvPr id="140" name="Овал 139">
          <a:extLst>
            <a:ext uri="{FF2B5EF4-FFF2-40B4-BE49-F238E27FC236}">
              <a16:creationId xmlns:a16="http://schemas.microsoft.com/office/drawing/2014/main" id="{7C5F1F65-E447-428B-981E-B24F6353C264}"/>
            </a:ext>
          </a:extLst>
        </xdr:cNvPr>
        <xdr:cNvSpPr/>
      </xdr:nvSpPr>
      <xdr:spPr>
        <a:xfrm>
          <a:off x="12047444" y="5713320"/>
          <a:ext cx="595034" cy="564215"/>
        </a:xfrm>
        <a:prstGeom prst="ellipse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ru-RU" sz="1600">
              <a:solidFill>
                <a:schemeClr val="tx1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13</a:t>
          </a:r>
        </a:p>
      </xdr:txBody>
    </xdr:sp>
    <xdr:clientData/>
  </xdr:twoCellAnchor>
  <xdr:twoCellAnchor>
    <xdr:from>
      <xdr:col>20</xdr:col>
      <xdr:colOff>540125</xdr:colOff>
      <xdr:row>31</xdr:row>
      <xdr:rowOff>89928</xdr:rowOff>
    </xdr:from>
    <xdr:to>
      <xdr:col>23</xdr:col>
      <xdr:colOff>155208</xdr:colOff>
      <xdr:row>35</xdr:row>
      <xdr:rowOff>84730</xdr:rowOff>
    </xdr:to>
    <xdr:cxnSp macro="">
      <xdr:nvCxnSpPr>
        <xdr:cNvPr id="145" name="Прямая со стрелкой 144">
          <a:extLst>
            <a:ext uri="{FF2B5EF4-FFF2-40B4-BE49-F238E27FC236}">
              <a16:creationId xmlns:a16="http://schemas.microsoft.com/office/drawing/2014/main" id="{A831E399-57FA-4E6E-9FCA-D567C8D823A8}"/>
            </a:ext>
          </a:extLst>
        </xdr:cNvPr>
        <xdr:cNvCxnSpPr>
          <a:stCxn id="140" idx="6"/>
          <a:endCxn id="173" idx="1"/>
        </xdr:cNvCxnSpPr>
      </xdr:nvCxnSpPr>
      <xdr:spPr>
        <a:xfrm>
          <a:off x="12662852" y="5995428"/>
          <a:ext cx="1433492" cy="756802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21</xdr:col>
      <xdr:colOff>96370</xdr:colOff>
      <xdr:row>29</xdr:row>
      <xdr:rowOff>152400</xdr:rowOff>
    </xdr:from>
    <xdr:ext cx="495457" cy="298800"/>
    <xdr:sp macro="" textlink="">
      <xdr:nvSpPr>
        <xdr:cNvPr id="148" name="TextBox 147">
          <a:extLst>
            <a:ext uri="{FF2B5EF4-FFF2-40B4-BE49-F238E27FC236}">
              <a16:creationId xmlns:a16="http://schemas.microsoft.com/office/drawing/2014/main" id="{322607E4-0B7C-4044-8F78-6AEA68376CA6}"/>
            </a:ext>
          </a:extLst>
        </xdr:cNvPr>
        <xdr:cNvSpPr txBox="1"/>
      </xdr:nvSpPr>
      <xdr:spPr>
        <a:xfrm>
          <a:off x="12803841" y="5676900"/>
          <a:ext cx="495457" cy="29880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ru-RU" sz="1400">
              <a:latin typeface="Times New Roman" panose="02020603050405020304" pitchFamily="18" charset="0"/>
              <a:cs typeface="Times New Roman" panose="02020603050405020304" pitchFamily="18" charset="0"/>
            </a:rPr>
            <a:t>К=3</a:t>
          </a:r>
        </a:p>
      </xdr:txBody>
    </xdr:sp>
    <xdr:clientData/>
  </xdr:oneCellAnchor>
  <xdr:twoCellAnchor>
    <xdr:from>
      <xdr:col>8</xdr:col>
      <xdr:colOff>584811</xdr:colOff>
      <xdr:row>6</xdr:row>
      <xdr:rowOff>139235</xdr:rowOff>
    </xdr:from>
    <xdr:to>
      <xdr:col>12</xdr:col>
      <xdr:colOff>240925</xdr:colOff>
      <xdr:row>11</xdr:row>
      <xdr:rowOff>6959</xdr:rowOff>
    </xdr:to>
    <xdr:cxnSp macro="">
      <xdr:nvCxnSpPr>
        <xdr:cNvPr id="149" name="Прямая со стрелкой 148">
          <a:extLst>
            <a:ext uri="{FF2B5EF4-FFF2-40B4-BE49-F238E27FC236}">
              <a16:creationId xmlns:a16="http://schemas.microsoft.com/office/drawing/2014/main" id="{552D8BFF-9A60-45E4-89DF-0D8AA4C10EE1}"/>
            </a:ext>
          </a:extLst>
        </xdr:cNvPr>
        <xdr:cNvCxnSpPr>
          <a:stCxn id="10" idx="7"/>
          <a:endCxn id="156" idx="2"/>
        </xdr:cNvCxnSpPr>
      </xdr:nvCxnSpPr>
      <xdr:spPr>
        <a:xfrm flipV="1">
          <a:off x="5425752" y="1282235"/>
          <a:ext cx="2076585" cy="820224"/>
        </a:xfrm>
        <a:prstGeom prst="straightConnector1">
          <a:avLst/>
        </a:prstGeom>
        <a:ln>
          <a:solidFill>
            <a:schemeClr val="tx1"/>
          </a:solidFill>
          <a:prstDash val="dash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287992</xdr:colOff>
      <xdr:row>8</xdr:row>
      <xdr:rowOff>40342</xdr:rowOff>
    </xdr:from>
    <xdr:to>
      <xdr:col>12</xdr:col>
      <xdr:colOff>538442</xdr:colOff>
      <xdr:row>20</xdr:row>
      <xdr:rowOff>132791</xdr:rowOff>
    </xdr:to>
    <xdr:cxnSp macro="">
      <xdr:nvCxnSpPr>
        <xdr:cNvPr id="152" name="Прямая со стрелкой 151">
          <a:extLst>
            <a:ext uri="{FF2B5EF4-FFF2-40B4-BE49-F238E27FC236}">
              <a16:creationId xmlns:a16="http://schemas.microsoft.com/office/drawing/2014/main" id="{3420A4FA-E453-4938-9B6F-9E2932C0880D}"/>
            </a:ext>
          </a:extLst>
        </xdr:cNvPr>
        <xdr:cNvCxnSpPr>
          <a:stCxn id="29" idx="0"/>
          <a:endCxn id="156" idx="4"/>
        </xdr:cNvCxnSpPr>
      </xdr:nvCxnSpPr>
      <xdr:spPr>
        <a:xfrm flipV="1">
          <a:off x="6944286" y="1564342"/>
          <a:ext cx="855568" cy="2378449"/>
        </a:xfrm>
        <a:prstGeom prst="straightConnector1">
          <a:avLst/>
        </a:prstGeom>
        <a:ln>
          <a:solidFill>
            <a:schemeClr val="tx1"/>
          </a:solidFill>
          <a:prstDash val="dash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240925</xdr:colOff>
      <xdr:row>5</xdr:row>
      <xdr:rowOff>47627</xdr:rowOff>
    </xdr:from>
    <xdr:to>
      <xdr:col>13</xdr:col>
      <xdr:colOff>230842</xdr:colOff>
      <xdr:row>8</xdr:row>
      <xdr:rowOff>40342</xdr:rowOff>
    </xdr:to>
    <xdr:sp macro="" textlink="">
      <xdr:nvSpPr>
        <xdr:cNvPr id="156" name="Овал 155">
          <a:extLst>
            <a:ext uri="{FF2B5EF4-FFF2-40B4-BE49-F238E27FC236}">
              <a16:creationId xmlns:a16="http://schemas.microsoft.com/office/drawing/2014/main" id="{B32AE84D-3913-4D1B-82DD-70030194C590}"/>
            </a:ext>
          </a:extLst>
        </xdr:cNvPr>
        <xdr:cNvSpPr/>
      </xdr:nvSpPr>
      <xdr:spPr>
        <a:xfrm>
          <a:off x="7502337" y="1000127"/>
          <a:ext cx="595034" cy="564215"/>
        </a:xfrm>
        <a:prstGeom prst="ellipse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ru-RU" sz="1600">
              <a:solidFill>
                <a:schemeClr val="tx1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14</a:t>
          </a:r>
        </a:p>
      </xdr:txBody>
    </xdr:sp>
    <xdr:clientData/>
  </xdr:twoCellAnchor>
  <xdr:twoCellAnchor>
    <xdr:from>
      <xdr:col>13</xdr:col>
      <xdr:colOff>230842</xdr:colOff>
      <xdr:row>6</xdr:row>
      <xdr:rowOff>139235</xdr:rowOff>
    </xdr:from>
    <xdr:to>
      <xdr:col>22</xdr:col>
      <xdr:colOff>148398</xdr:colOff>
      <xdr:row>7</xdr:row>
      <xdr:rowOff>66716</xdr:rowOff>
    </xdr:to>
    <xdr:cxnSp macro="">
      <xdr:nvCxnSpPr>
        <xdr:cNvPr id="161" name="Прямая со стрелкой 160">
          <a:extLst>
            <a:ext uri="{FF2B5EF4-FFF2-40B4-BE49-F238E27FC236}">
              <a16:creationId xmlns:a16="http://schemas.microsoft.com/office/drawing/2014/main" id="{316B4531-2011-4B57-9049-67CB2469E794}"/>
            </a:ext>
          </a:extLst>
        </xdr:cNvPr>
        <xdr:cNvCxnSpPr>
          <a:cxnSpLocks/>
          <a:stCxn id="156" idx="6"/>
          <a:endCxn id="165" idx="2"/>
        </xdr:cNvCxnSpPr>
      </xdr:nvCxnSpPr>
      <xdr:spPr>
        <a:xfrm>
          <a:off x="8191021" y="1282235"/>
          <a:ext cx="5428448" cy="117981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17</xdr:col>
      <xdr:colOff>267021</xdr:colOff>
      <xdr:row>5</xdr:row>
      <xdr:rowOff>106136</xdr:rowOff>
    </xdr:from>
    <xdr:ext cx="497444" cy="298800"/>
    <xdr:sp macro="" textlink="">
      <xdr:nvSpPr>
        <xdr:cNvPr id="164" name="TextBox 163">
          <a:extLst>
            <a:ext uri="{FF2B5EF4-FFF2-40B4-BE49-F238E27FC236}">
              <a16:creationId xmlns:a16="http://schemas.microsoft.com/office/drawing/2014/main" id="{B883B068-400A-4927-8681-2310969CE73A}"/>
            </a:ext>
          </a:extLst>
        </xdr:cNvPr>
        <xdr:cNvSpPr txBox="1"/>
      </xdr:nvSpPr>
      <xdr:spPr>
        <a:xfrm>
          <a:off x="10676485" y="1058636"/>
          <a:ext cx="497444" cy="29880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ru-RU" sz="1400">
              <a:latin typeface="Times New Roman" panose="02020603050405020304" pitchFamily="18" charset="0"/>
              <a:cs typeface="Times New Roman" panose="02020603050405020304" pitchFamily="18" charset="0"/>
            </a:rPr>
            <a:t>Л=4</a:t>
          </a:r>
        </a:p>
      </xdr:txBody>
    </xdr:sp>
    <xdr:clientData/>
  </xdr:oneCellAnchor>
  <xdr:twoCellAnchor>
    <xdr:from>
      <xdr:col>22</xdr:col>
      <xdr:colOff>148398</xdr:colOff>
      <xdr:row>5</xdr:row>
      <xdr:rowOff>165608</xdr:rowOff>
    </xdr:from>
    <xdr:to>
      <xdr:col>23</xdr:col>
      <xdr:colOff>138313</xdr:colOff>
      <xdr:row>8</xdr:row>
      <xdr:rowOff>158323</xdr:rowOff>
    </xdr:to>
    <xdr:sp macro="" textlink="">
      <xdr:nvSpPr>
        <xdr:cNvPr id="165" name="Овал 164">
          <a:extLst>
            <a:ext uri="{FF2B5EF4-FFF2-40B4-BE49-F238E27FC236}">
              <a16:creationId xmlns:a16="http://schemas.microsoft.com/office/drawing/2014/main" id="{D59C4509-DA77-44E1-9269-828F4A0AB732}"/>
            </a:ext>
          </a:extLst>
        </xdr:cNvPr>
        <xdr:cNvSpPr/>
      </xdr:nvSpPr>
      <xdr:spPr>
        <a:xfrm>
          <a:off x="13619469" y="1118108"/>
          <a:ext cx="602237" cy="564215"/>
        </a:xfrm>
        <a:prstGeom prst="ellipse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ru-RU" sz="1600">
              <a:solidFill>
                <a:schemeClr val="tx1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15</a:t>
          </a:r>
        </a:p>
      </xdr:txBody>
    </xdr:sp>
    <xdr:clientData/>
  </xdr:twoCellAnchor>
  <xdr:twoCellAnchor>
    <xdr:from>
      <xdr:col>22</xdr:col>
      <xdr:colOff>446424</xdr:colOff>
      <xdr:row>8</xdr:row>
      <xdr:rowOff>158323</xdr:rowOff>
    </xdr:from>
    <xdr:to>
      <xdr:col>23</xdr:col>
      <xdr:colOff>365944</xdr:colOff>
      <xdr:row>35</xdr:row>
      <xdr:rowOff>2103</xdr:rowOff>
    </xdr:to>
    <xdr:cxnSp macro="">
      <xdr:nvCxnSpPr>
        <xdr:cNvPr id="168" name="Прямая со стрелкой 167">
          <a:extLst>
            <a:ext uri="{FF2B5EF4-FFF2-40B4-BE49-F238E27FC236}">
              <a16:creationId xmlns:a16="http://schemas.microsoft.com/office/drawing/2014/main" id="{682966F9-2A59-46CE-845B-3618C75EBE8D}"/>
            </a:ext>
          </a:extLst>
        </xdr:cNvPr>
        <xdr:cNvCxnSpPr>
          <a:cxnSpLocks/>
          <a:stCxn id="165" idx="4"/>
          <a:endCxn id="173" idx="0"/>
        </xdr:cNvCxnSpPr>
      </xdr:nvCxnSpPr>
      <xdr:spPr>
        <a:xfrm>
          <a:off x="13781424" y="1682323"/>
          <a:ext cx="525656" cy="4987280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22</xdr:col>
      <xdr:colOff>199887</xdr:colOff>
      <xdr:row>18</xdr:row>
      <xdr:rowOff>51009</xdr:rowOff>
    </xdr:from>
    <xdr:ext cx="535339" cy="298800"/>
    <xdr:sp macro="" textlink="">
      <xdr:nvSpPr>
        <xdr:cNvPr id="171" name="TextBox 170">
          <a:extLst>
            <a:ext uri="{FF2B5EF4-FFF2-40B4-BE49-F238E27FC236}">
              <a16:creationId xmlns:a16="http://schemas.microsoft.com/office/drawing/2014/main" id="{569ED3E0-B660-4C6C-8509-85C9012362E1}"/>
            </a:ext>
          </a:extLst>
        </xdr:cNvPr>
        <xdr:cNvSpPr txBox="1"/>
      </xdr:nvSpPr>
      <xdr:spPr>
        <a:xfrm>
          <a:off x="13534887" y="3480009"/>
          <a:ext cx="535339" cy="29880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ru-RU" sz="1400">
              <a:latin typeface="Times New Roman" panose="02020603050405020304" pitchFamily="18" charset="0"/>
              <a:cs typeface="Times New Roman" panose="02020603050405020304" pitchFamily="18" charset="0"/>
            </a:rPr>
            <a:t>М=2</a:t>
          </a:r>
        </a:p>
      </xdr:txBody>
    </xdr:sp>
    <xdr:clientData/>
  </xdr:oneCellAnchor>
  <xdr:twoCellAnchor>
    <xdr:from>
      <xdr:col>23</xdr:col>
      <xdr:colOff>67918</xdr:colOff>
      <xdr:row>35</xdr:row>
      <xdr:rowOff>2103</xdr:rowOff>
    </xdr:from>
    <xdr:to>
      <xdr:col>24</xdr:col>
      <xdr:colOff>57833</xdr:colOff>
      <xdr:row>37</xdr:row>
      <xdr:rowOff>185318</xdr:rowOff>
    </xdr:to>
    <xdr:sp macro="" textlink="">
      <xdr:nvSpPr>
        <xdr:cNvPr id="173" name="Овал 172">
          <a:extLst>
            <a:ext uri="{FF2B5EF4-FFF2-40B4-BE49-F238E27FC236}">
              <a16:creationId xmlns:a16="http://schemas.microsoft.com/office/drawing/2014/main" id="{8ED4179F-3498-4F6A-B53C-1575FA9C16D9}"/>
            </a:ext>
          </a:extLst>
        </xdr:cNvPr>
        <xdr:cNvSpPr/>
      </xdr:nvSpPr>
      <xdr:spPr>
        <a:xfrm>
          <a:off x="14009054" y="6669603"/>
          <a:ext cx="596052" cy="564215"/>
        </a:xfrm>
        <a:prstGeom prst="ellipse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ru-RU" sz="1600">
              <a:solidFill>
                <a:schemeClr val="tx1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17</a:t>
          </a:r>
        </a:p>
      </xdr:txBody>
    </xdr:sp>
    <xdr:clientData/>
  </xdr:twoCellAnchor>
  <xdr:twoCellAnchor>
    <xdr:from>
      <xdr:col>20</xdr:col>
      <xdr:colOff>451843</xdr:colOff>
      <xdr:row>32</xdr:row>
      <xdr:rowOff>98908</xdr:rowOff>
    </xdr:from>
    <xdr:to>
      <xdr:col>21</xdr:col>
      <xdr:colOff>429827</xdr:colOff>
      <xdr:row>34</xdr:row>
      <xdr:rowOff>29311</xdr:rowOff>
    </xdr:to>
    <xdr:cxnSp macro="">
      <xdr:nvCxnSpPr>
        <xdr:cNvPr id="174" name="Прямая со стрелкой 173">
          <a:extLst>
            <a:ext uri="{FF2B5EF4-FFF2-40B4-BE49-F238E27FC236}">
              <a16:creationId xmlns:a16="http://schemas.microsoft.com/office/drawing/2014/main" id="{FE6C4D84-CAE1-4FE4-A38D-B637EA29C2C2}"/>
            </a:ext>
          </a:extLst>
        </xdr:cNvPr>
        <xdr:cNvCxnSpPr>
          <a:stCxn id="140" idx="5"/>
          <a:endCxn id="209" idx="1"/>
        </xdr:cNvCxnSpPr>
      </xdr:nvCxnSpPr>
      <xdr:spPr>
        <a:xfrm>
          <a:off x="12710104" y="6194908"/>
          <a:ext cx="590897" cy="311403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20</xdr:col>
      <xdr:colOff>416859</xdr:colOff>
      <xdr:row>33</xdr:row>
      <xdr:rowOff>24653</xdr:rowOff>
    </xdr:from>
    <xdr:ext cx="505331" cy="298800"/>
    <xdr:sp macro="" textlink="">
      <xdr:nvSpPr>
        <xdr:cNvPr id="177" name="TextBox 176">
          <a:extLst>
            <a:ext uri="{FF2B5EF4-FFF2-40B4-BE49-F238E27FC236}">
              <a16:creationId xmlns:a16="http://schemas.microsoft.com/office/drawing/2014/main" id="{9809F13D-A879-409D-8D13-9F9B011384FB}"/>
            </a:ext>
          </a:extLst>
        </xdr:cNvPr>
        <xdr:cNvSpPr txBox="1"/>
      </xdr:nvSpPr>
      <xdr:spPr>
        <a:xfrm>
          <a:off x="12675120" y="6311153"/>
          <a:ext cx="505331" cy="29880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ru-RU" sz="1400">
              <a:latin typeface="Times New Roman" panose="02020603050405020304" pitchFamily="18" charset="0"/>
              <a:cs typeface="Times New Roman" panose="02020603050405020304" pitchFamily="18" charset="0"/>
            </a:rPr>
            <a:t>О=6</a:t>
          </a:r>
        </a:p>
      </xdr:txBody>
    </xdr:sp>
    <xdr:clientData/>
  </xdr:oneCellAnchor>
  <xdr:twoCellAnchor>
    <xdr:from>
      <xdr:col>21</xdr:col>
      <xdr:colOff>341545</xdr:colOff>
      <xdr:row>33</xdr:row>
      <xdr:rowOff>137184</xdr:rowOff>
    </xdr:from>
    <xdr:to>
      <xdr:col>22</xdr:col>
      <xdr:colOff>331461</xdr:colOff>
      <xdr:row>36</xdr:row>
      <xdr:rowOff>129899</xdr:rowOff>
    </xdr:to>
    <xdr:sp macro="" textlink="">
      <xdr:nvSpPr>
        <xdr:cNvPr id="209" name="Овал 208">
          <a:extLst>
            <a:ext uri="{FF2B5EF4-FFF2-40B4-BE49-F238E27FC236}">
              <a16:creationId xmlns:a16="http://schemas.microsoft.com/office/drawing/2014/main" id="{8339B149-6D81-45BE-8415-F67C8C904CDF}"/>
            </a:ext>
          </a:extLst>
        </xdr:cNvPr>
        <xdr:cNvSpPr/>
      </xdr:nvSpPr>
      <xdr:spPr>
        <a:xfrm>
          <a:off x="13070409" y="6423684"/>
          <a:ext cx="596052" cy="564215"/>
        </a:xfrm>
        <a:prstGeom prst="ellipse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ru-RU" sz="1600">
              <a:solidFill>
                <a:schemeClr val="tx1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16</a:t>
          </a:r>
        </a:p>
      </xdr:txBody>
    </xdr:sp>
    <xdr:clientData/>
  </xdr:twoCellAnchor>
  <xdr:twoCellAnchor>
    <xdr:from>
      <xdr:col>22</xdr:col>
      <xdr:colOff>331461</xdr:colOff>
      <xdr:row>35</xdr:row>
      <xdr:rowOff>38292</xdr:rowOff>
    </xdr:from>
    <xdr:to>
      <xdr:col>23</xdr:col>
      <xdr:colOff>67918</xdr:colOff>
      <xdr:row>36</xdr:row>
      <xdr:rowOff>93711</xdr:rowOff>
    </xdr:to>
    <xdr:cxnSp macro="">
      <xdr:nvCxnSpPr>
        <xdr:cNvPr id="212" name="Прямая со стрелкой 211">
          <a:extLst>
            <a:ext uri="{FF2B5EF4-FFF2-40B4-BE49-F238E27FC236}">
              <a16:creationId xmlns:a16="http://schemas.microsoft.com/office/drawing/2014/main" id="{A88CB2C8-8DBC-4A8B-AE98-EDAC9DF108E5}"/>
            </a:ext>
          </a:extLst>
        </xdr:cNvPr>
        <xdr:cNvCxnSpPr>
          <a:stCxn id="209" idx="6"/>
          <a:endCxn id="173" idx="2"/>
        </xdr:cNvCxnSpPr>
      </xdr:nvCxnSpPr>
      <xdr:spPr>
        <a:xfrm>
          <a:off x="13666461" y="6705792"/>
          <a:ext cx="342593" cy="245919"/>
        </a:xfrm>
        <a:prstGeom prst="straightConnector1">
          <a:avLst/>
        </a:prstGeom>
        <a:ln>
          <a:solidFill>
            <a:schemeClr val="tx1"/>
          </a:solidFill>
          <a:prstDash val="dash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36980</xdr:colOff>
      <xdr:row>24</xdr:row>
      <xdr:rowOff>56591</xdr:rowOff>
    </xdr:from>
    <xdr:to>
      <xdr:col>11</xdr:col>
      <xdr:colOff>565898</xdr:colOff>
      <xdr:row>27</xdr:row>
      <xdr:rowOff>18491</xdr:rowOff>
    </xdr:to>
    <xdr:sp macro="" textlink="">
      <xdr:nvSpPr>
        <xdr:cNvPr id="2" name="Овал 1">
          <a:extLst>
            <a:ext uri="{FF2B5EF4-FFF2-40B4-BE49-F238E27FC236}">
              <a16:creationId xmlns:a16="http://schemas.microsoft.com/office/drawing/2014/main" id="{D7285D68-EE74-4059-8900-3410483C33E3}"/>
            </a:ext>
          </a:extLst>
        </xdr:cNvPr>
        <xdr:cNvSpPr/>
      </xdr:nvSpPr>
      <xdr:spPr>
        <a:xfrm>
          <a:off x="3694580" y="3104591"/>
          <a:ext cx="528918" cy="533400"/>
        </a:xfrm>
        <a:prstGeom prst="ellipse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ru-RU" sz="1800">
              <a:solidFill>
                <a:schemeClr val="tx1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1</a:t>
          </a:r>
        </a:p>
      </xdr:txBody>
    </xdr:sp>
    <xdr:clientData/>
  </xdr:twoCellAnchor>
  <xdr:oneCellAnchor>
    <xdr:from>
      <xdr:col>14</xdr:col>
      <xdr:colOff>425825</xdr:colOff>
      <xdr:row>29</xdr:row>
      <xdr:rowOff>56029</xdr:rowOff>
    </xdr:from>
    <xdr:ext cx="495457" cy="298800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3DCF962B-9C46-41BE-9796-B4AFA1B1F12A}"/>
            </a:ext>
          </a:extLst>
        </xdr:cNvPr>
        <xdr:cNvSpPr txBox="1"/>
      </xdr:nvSpPr>
      <xdr:spPr>
        <a:xfrm>
          <a:off x="5912225" y="4056529"/>
          <a:ext cx="495457" cy="29880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ru-RU" sz="1400">
              <a:latin typeface="Times New Roman" panose="02020603050405020304" pitchFamily="18" charset="0"/>
              <a:cs typeface="Times New Roman" panose="02020603050405020304" pitchFamily="18" charset="0"/>
            </a:rPr>
            <a:t>В=2</a:t>
          </a:r>
        </a:p>
      </xdr:txBody>
    </xdr:sp>
    <xdr:clientData/>
  </xdr:oneCellAnchor>
  <xdr:twoCellAnchor>
    <xdr:from>
      <xdr:col>11</xdr:col>
      <xdr:colOff>488440</xdr:colOff>
      <xdr:row>21</xdr:row>
      <xdr:rowOff>3129</xdr:rowOff>
    </xdr:from>
    <xdr:to>
      <xdr:col>13</xdr:col>
      <xdr:colOff>210809</xdr:colOff>
      <xdr:row>24</xdr:row>
      <xdr:rowOff>134706</xdr:rowOff>
    </xdr:to>
    <xdr:cxnSp macro="">
      <xdr:nvCxnSpPr>
        <xdr:cNvPr id="4" name="Прямая со стрелкой 3">
          <a:extLst>
            <a:ext uri="{FF2B5EF4-FFF2-40B4-BE49-F238E27FC236}">
              <a16:creationId xmlns:a16="http://schemas.microsoft.com/office/drawing/2014/main" id="{4FCEC82F-884D-4920-BBA7-8D338FEBA0CC}"/>
            </a:ext>
          </a:extLst>
        </xdr:cNvPr>
        <xdr:cNvCxnSpPr>
          <a:stCxn id="2" idx="7"/>
          <a:endCxn id="6" idx="3"/>
        </xdr:cNvCxnSpPr>
      </xdr:nvCxnSpPr>
      <xdr:spPr>
        <a:xfrm flipV="1">
          <a:off x="4146040" y="2479629"/>
          <a:ext cx="941569" cy="703077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12</xdr:col>
      <xdr:colOff>6723</xdr:colOff>
      <xdr:row>21</xdr:row>
      <xdr:rowOff>40340</xdr:rowOff>
    </xdr:from>
    <xdr:ext cx="505331" cy="298800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262F18F2-8F72-46CA-AD0B-1C7CFCE16E2C}"/>
            </a:ext>
          </a:extLst>
        </xdr:cNvPr>
        <xdr:cNvSpPr txBox="1"/>
      </xdr:nvSpPr>
      <xdr:spPr>
        <a:xfrm>
          <a:off x="4273923" y="2516840"/>
          <a:ext cx="505331" cy="29880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ru-RU" sz="1400">
              <a:latin typeface="Times New Roman" panose="02020603050405020304" pitchFamily="18" charset="0"/>
              <a:cs typeface="Times New Roman" panose="02020603050405020304" pitchFamily="18" charset="0"/>
            </a:rPr>
            <a:t>А=6</a:t>
          </a:r>
        </a:p>
      </xdr:txBody>
    </xdr:sp>
    <xdr:clientData/>
  </xdr:oneCellAnchor>
  <xdr:twoCellAnchor>
    <xdr:from>
      <xdr:col>13</xdr:col>
      <xdr:colOff>133351</xdr:colOff>
      <xdr:row>18</xdr:row>
      <xdr:rowOff>119344</xdr:rowOff>
    </xdr:from>
    <xdr:to>
      <xdr:col>14</xdr:col>
      <xdr:colOff>57151</xdr:colOff>
      <xdr:row>21</xdr:row>
      <xdr:rowOff>81244</xdr:rowOff>
    </xdr:to>
    <xdr:sp macro="" textlink="">
      <xdr:nvSpPr>
        <xdr:cNvPr id="6" name="Овал 5">
          <a:extLst>
            <a:ext uri="{FF2B5EF4-FFF2-40B4-BE49-F238E27FC236}">
              <a16:creationId xmlns:a16="http://schemas.microsoft.com/office/drawing/2014/main" id="{47D9DF6A-9E12-4A77-97AE-D6EA15E98F14}"/>
            </a:ext>
          </a:extLst>
        </xdr:cNvPr>
        <xdr:cNvSpPr/>
      </xdr:nvSpPr>
      <xdr:spPr>
        <a:xfrm>
          <a:off x="5010151" y="2024344"/>
          <a:ext cx="533400" cy="533400"/>
        </a:xfrm>
        <a:prstGeom prst="ellipse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ru-RU" sz="1800">
              <a:solidFill>
                <a:schemeClr val="tx1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2</a:t>
          </a:r>
        </a:p>
      </xdr:txBody>
    </xdr:sp>
    <xdr:clientData/>
  </xdr:twoCellAnchor>
  <xdr:oneCellAnchor>
    <xdr:from>
      <xdr:col>12</xdr:col>
      <xdr:colOff>309284</xdr:colOff>
      <xdr:row>28</xdr:row>
      <xdr:rowOff>29135</xdr:rowOff>
    </xdr:from>
    <xdr:ext cx="478785" cy="298800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5F1752FF-00EF-4365-946C-66D99AD5E0C5}"/>
            </a:ext>
          </a:extLst>
        </xdr:cNvPr>
        <xdr:cNvSpPr txBox="1"/>
      </xdr:nvSpPr>
      <xdr:spPr>
        <a:xfrm>
          <a:off x="4576484" y="3839135"/>
          <a:ext cx="478785" cy="29880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ru-RU" sz="1400">
              <a:latin typeface="Times New Roman" panose="02020603050405020304" pitchFamily="18" charset="0"/>
              <a:cs typeface="Times New Roman" panose="02020603050405020304" pitchFamily="18" charset="0"/>
            </a:rPr>
            <a:t>Б=1</a:t>
          </a:r>
        </a:p>
      </xdr:txBody>
    </xdr:sp>
    <xdr:clientData/>
  </xdr:oneCellAnchor>
  <xdr:twoCellAnchor>
    <xdr:from>
      <xdr:col>11</xdr:col>
      <xdr:colOff>488440</xdr:colOff>
      <xdr:row>26</xdr:row>
      <xdr:rowOff>130876</xdr:rowOff>
    </xdr:from>
    <xdr:to>
      <xdr:col>13</xdr:col>
      <xdr:colOff>289251</xdr:colOff>
      <xdr:row>32</xdr:row>
      <xdr:rowOff>6959</xdr:rowOff>
    </xdr:to>
    <xdr:cxnSp macro="">
      <xdr:nvCxnSpPr>
        <xdr:cNvPr id="8" name="Прямая со стрелкой 7">
          <a:extLst>
            <a:ext uri="{FF2B5EF4-FFF2-40B4-BE49-F238E27FC236}">
              <a16:creationId xmlns:a16="http://schemas.microsoft.com/office/drawing/2014/main" id="{E602F6E3-C11A-4539-AF74-16FE06761EF6}"/>
            </a:ext>
          </a:extLst>
        </xdr:cNvPr>
        <xdr:cNvCxnSpPr>
          <a:stCxn id="2" idx="5"/>
          <a:endCxn id="9" idx="1"/>
        </xdr:cNvCxnSpPr>
      </xdr:nvCxnSpPr>
      <xdr:spPr>
        <a:xfrm>
          <a:off x="4146040" y="3559876"/>
          <a:ext cx="1020011" cy="1019083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211793</xdr:colOff>
      <xdr:row>31</xdr:row>
      <xdr:rowOff>119344</xdr:rowOff>
    </xdr:from>
    <xdr:to>
      <xdr:col>14</xdr:col>
      <xdr:colOff>135593</xdr:colOff>
      <xdr:row>34</xdr:row>
      <xdr:rowOff>81244</xdr:rowOff>
    </xdr:to>
    <xdr:sp macro="" textlink="">
      <xdr:nvSpPr>
        <xdr:cNvPr id="9" name="Овал 8">
          <a:extLst>
            <a:ext uri="{FF2B5EF4-FFF2-40B4-BE49-F238E27FC236}">
              <a16:creationId xmlns:a16="http://schemas.microsoft.com/office/drawing/2014/main" id="{23B59FB5-D25C-4311-8ADE-A02DFB444C51}"/>
            </a:ext>
          </a:extLst>
        </xdr:cNvPr>
        <xdr:cNvSpPr/>
      </xdr:nvSpPr>
      <xdr:spPr>
        <a:xfrm>
          <a:off x="5088593" y="4500844"/>
          <a:ext cx="533400" cy="533400"/>
        </a:xfrm>
        <a:prstGeom prst="ellipse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ru-RU" sz="1800">
              <a:solidFill>
                <a:schemeClr val="tx1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3</a:t>
          </a:r>
        </a:p>
      </xdr:txBody>
    </xdr:sp>
    <xdr:clientData/>
  </xdr:twoCellAnchor>
  <xdr:twoCellAnchor>
    <xdr:from>
      <xdr:col>14</xdr:col>
      <xdr:colOff>57151</xdr:colOff>
      <xdr:row>20</xdr:row>
      <xdr:rowOff>5044</xdr:rowOff>
    </xdr:from>
    <xdr:to>
      <xdr:col>16</xdr:col>
      <xdr:colOff>39222</xdr:colOff>
      <xdr:row>20</xdr:row>
      <xdr:rowOff>22973</xdr:rowOff>
    </xdr:to>
    <xdr:cxnSp macro="">
      <xdr:nvCxnSpPr>
        <xdr:cNvPr id="10" name="Прямая со стрелкой 9">
          <a:extLst>
            <a:ext uri="{FF2B5EF4-FFF2-40B4-BE49-F238E27FC236}">
              <a16:creationId xmlns:a16="http://schemas.microsoft.com/office/drawing/2014/main" id="{71C99FE0-B76E-4E98-95D4-96E552738565}"/>
            </a:ext>
          </a:extLst>
        </xdr:cNvPr>
        <xdr:cNvCxnSpPr>
          <a:stCxn id="6" idx="6"/>
          <a:endCxn id="11" idx="2"/>
        </xdr:cNvCxnSpPr>
      </xdr:nvCxnSpPr>
      <xdr:spPr>
        <a:xfrm>
          <a:off x="5543551" y="2291044"/>
          <a:ext cx="1201271" cy="17929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39222</xdr:colOff>
      <xdr:row>18</xdr:row>
      <xdr:rowOff>137273</xdr:rowOff>
    </xdr:from>
    <xdr:to>
      <xdr:col>16</xdr:col>
      <xdr:colOff>568140</xdr:colOff>
      <xdr:row>21</xdr:row>
      <xdr:rowOff>99173</xdr:rowOff>
    </xdr:to>
    <xdr:sp macro="" textlink="">
      <xdr:nvSpPr>
        <xdr:cNvPr id="11" name="Овал 10">
          <a:extLst>
            <a:ext uri="{FF2B5EF4-FFF2-40B4-BE49-F238E27FC236}">
              <a16:creationId xmlns:a16="http://schemas.microsoft.com/office/drawing/2014/main" id="{FEE28016-281F-4714-95AC-832D4B454434}"/>
            </a:ext>
          </a:extLst>
        </xdr:cNvPr>
        <xdr:cNvSpPr/>
      </xdr:nvSpPr>
      <xdr:spPr>
        <a:xfrm>
          <a:off x="6744822" y="2042273"/>
          <a:ext cx="528918" cy="533400"/>
        </a:xfrm>
        <a:prstGeom prst="ellipse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ru-RU" sz="1800">
              <a:solidFill>
                <a:schemeClr val="tx1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5</a:t>
          </a:r>
        </a:p>
      </xdr:txBody>
    </xdr:sp>
    <xdr:clientData/>
  </xdr:twoCellAnchor>
  <xdr:oneCellAnchor>
    <xdr:from>
      <xdr:col>14</xdr:col>
      <xdr:colOff>484094</xdr:colOff>
      <xdr:row>18</xdr:row>
      <xdr:rowOff>103093</xdr:rowOff>
    </xdr:from>
    <xdr:ext cx="479490" cy="298800"/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3E1DA1FD-CE5C-4B7E-8B54-F49554C11E9E}"/>
            </a:ext>
          </a:extLst>
        </xdr:cNvPr>
        <xdr:cNvSpPr txBox="1"/>
      </xdr:nvSpPr>
      <xdr:spPr>
        <a:xfrm>
          <a:off x="5970494" y="2008093"/>
          <a:ext cx="479490" cy="29880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ru-RU" sz="1400">
              <a:latin typeface="Times New Roman" panose="02020603050405020304" pitchFamily="18" charset="0"/>
              <a:cs typeface="Times New Roman" panose="02020603050405020304" pitchFamily="18" charset="0"/>
            </a:rPr>
            <a:t>Г=4</a:t>
          </a:r>
        </a:p>
      </xdr:txBody>
    </xdr:sp>
    <xdr:clientData/>
  </xdr:oneCellAnchor>
  <xdr:twoCellAnchor>
    <xdr:from>
      <xdr:col>14</xdr:col>
      <xdr:colOff>58135</xdr:colOff>
      <xdr:row>30</xdr:row>
      <xdr:rowOff>18491</xdr:rowOff>
    </xdr:from>
    <xdr:to>
      <xdr:col>16</xdr:col>
      <xdr:colOff>23533</xdr:colOff>
      <xdr:row>32</xdr:row>
      <xdr:rowOff>6959</xdr:rowOff>
    </xdr:to>
    <xdr:cxnSp macro="">
      <xdr:nvCxnSpPr>
        <xdr:cNvPr id="13" name="Прямая со стрелкой 12">
          <a:extLst>
            <a:ext uri="{FF2B5EF4-FFF2-40B4-BE49-F238E27FC236}">
              <a16:creationId xmlns:a16="http://schemas.microsoft.com/office/drawing/2014/main" id="{4F2DDA65-349E-42F2-99BE-9699EE61427F}"/>
            </a:ext>
          </a:extLst>
        </xdr:cNvPr>
        <xdr:cNvCxnSpPr>
          <a:stCxn id="9" idx="7"/>
          <a:endCxn id="14" idx="2"/>
        </xdr:cNvCxnSpPr>
      </xdr:nvCxnSpPr>
      <xdr:spPr>
        <a:xfrm flipV="1">
          <a:off x="5544535" y="4209491"/>
          <a:ext cx="1184598" cy="369468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23533</xdr:colOff>
      <xdr:row>28</xdr:row>
      <xdr:rowOff>132791</xdr:rowOff>
    </xdr:from>
    <xdr:to>
      <xdr:col>16</xdr:col>
      <xdr:colOff>552451</xdr:colOff>
      <xdr:row>31</xdr:row>
      <xdr:rowOff>94691</xdr:rowOff>
    </xdr:to>
    <xdr:sp macro="" textlink="">
      <xdr:nvSpPr>
        <xdr:cNvPr id="14" name="Овал 13">
          <a:extLst>
            <a:ext uri="{FF2B5EF4-FFF2-40B4-BE49-F238E27FC236}">
              <a16:creationId xmlns:a16="http://schemas.microsoft.com/office/drawing/2014/main" id="{BE58ED94-DE12-433B-9227-2E52AF0CA6ED}"/>
            </a:ext>
          </a:extLst>
        </xdr:cNvPr>
        <xdr:cNvSpPr/>
      </xdr:nvSpPr>
      <xdr:spPr>
        <a:xfrm>
          <a:off x="6729133" y="3942791"/>
          <a:ext cx="528918" cy="533400"/>
        </a:xfrm>
        <a:prstGeom prst="ellipse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ru-RU" sz="1800">
              <a:solidFill>
                <a:schemeClr val="tx1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4</a:t>
          </a:r>
        </a:p>
      </xdr:txBody>
    </xdr:sp>
    <xdr:clientData/>
  </xdr:twoCellAnchor>
  <xdr:twoCellAnchor>
    <xdr:from>
      <xdr:col>16</xdr:col>
      <xdr:colOff>490682</xdr:colOff>
      <xdr:row>21</xdr:row>
      <xdr:rowOff>21058</xdr:rowOff>
    </xdr:from>
    <xdr:to>
      <xdr:col>17</xdr:col>
      <xdr:colOff>493197</xdr:colOff>
      <xdr:row>24</xdr:row>
      <xdr:rowOff>31612</xdr:rowOff>
    </xdr:to>
    <xdr:cxnSp macro="">
      <xdr:nvCxnSpPr>
        <xdr:cNvPr id="15" name="Прямая со стрелкой 14">
          <a:extLst>
            <a:ext uri="{FF2B5EF4-FFF2-40B4-BE49-F238E27FC236}">
              <a16:creationId xmlns:a16="http://schemas.microsoft.com/office/drawing/2014/main" id="{2BD3475D-9257-429A-96DA-AA886E1CC401}"/>
            </a:ext>
          </a:extLst>
        </xdr:cNvPr>
        <xdr:cNvCxnSpPr>
          <a:stCxn id="11" idx="5"/>
          <a:endCxn id="17" idx="1"/>
        </xdr:cNvCxnSpPr>
      </xdr:nvCxnSpPr>
      <xdr:spPr>
        <a:xfrm>
          <a:off x="7196282" y="2497558"/>
          <a:ext cx="612115" cy="582054"/>
        </a:xfrm>
        <a:prstGeom prst="straightConnector1">
          <a:avLst/>
        </a:prstGeom>
        <a:ln>
          <a:solidFill>
            <a:schemeClr val="tx1"/>
          </a:solidFill>
          <a:prstDash val="dash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474993</xdr:colOff>
      <xdr:row>26</xdr:row>
      <xdr:rowOff>27782</xdr:rowOff>
    </xdr:from>
    <xdr:to>
      <xdr:col>17</xdr:col>
      <xdr:colOff>493197</xdr:colOff>
      <xdr:row>29</xdr:row>
      <xdr:rowOff>20406</xdr:rowOff>
    </xdr:to>
    <xdr:cxnSp macro="">
      <xdr:nvCxnSpPr>
        <xdr:cNvPr id="16" name="Прямая со стрелкой 15">
          <a:extLst>
            <a:ext uri="{FF2B5EF4-FFF2-40B4-BE49-F238E27FC236}">
              <a16:creationId xmlns:a16="http://schemas.microsoft.com/office/drawing/2014/main" id="{47A34B8A-5746-4AAB-B93F-4C3AAF5081E2}"/>
            </a:ext>
          </a:extLst>
        </xdr:cNvPr>
        <xdr:cNvCxnSpPr>
          <a:stCxn id="14" idx="7"/>
          <a:endCxn id="17" idx="3"/>
        </xdr:cNvCxnSpPr>
      </xdr:nvCxnSpPr>
      <xdr:spPr>
        <a:xfrm flipV="1">
          <a:off x="7180593" y="3456782"/>
          <a:ext cx="627804" cy="564124"/>
        </a:xfrm>
        <a:prstGeom prst="straightConnector1">
          <a:avLst/>
        </a:prstGeom>
        <a:ln>
          <a:solidFill>
            <a:schemeClr val="tx1"/>
          </a:solidFill>
          <a:prstDash val="dash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415739</xdr:colOff>
      <xdr:row>23</xdr:row>
      <xdr:rowOff>143997</xdr:rowOff>
    </xdr:from>
    <xdr:to>
      <xdr:col>18</xdr:col>
      <xdr:colOff>339540</xdr:colOff>
      <xdr:row>26</xdr:row>
      <xdr:rowOff>105897</xdr:rowOff>
    </xdr:to>
    <xdr:sp macro="" textlink="">
      <xdr:nvSpPr>
        <xdr:cNvPr id="17" name="Овал 16">
          <a:extLst>
            <a:ext uri="{FF2B5EF4-FFF2-40B4-BE49-F238E27FC236}">
              <a16:creationId xmlns:a16="http://schemas.microsoft.com/office/drawing/2014/main" id="{D42AEA32-0885-46E9-AF01-E877BD493A47}"/>
            </a:ext>
          </a:extLst>
        </xdr:cNvPr>
        <xdr:cNvSpPr/>
      </xdr:nvSpPr>
      <xdr:spPr>
        <a:xfrm>
          <a:off x="7730939" y="3001497"/>
          <a:ext cx="533401" cy="533400"/>
        </a:xfrm>
        <a:prstGeom prst="ellipse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ru-RU" sz="1800">
              <a:solidFill>
                <a:schemeClr val="tx1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6</a:t>
          </a:r>
        </a:p>
      </xdr:txBody>
    </xdr:sp>
    <xdr:clientData/>
  </xdr:twoCellAnchor>
  <xdr:twoCellAnchor>
    <xdr:from>
      <xdr:col>18</xdr:col>
      <xdr:colOff>295700</xdr:colOff>
      <xdr:row>20</xdr:row>
      <xdr:rowOff>76762</xdr:rowOff>
    </xdr:from>
    <xdr:to>
      <xdr:col>20</xdr:col>
      <xdr:colOff>59391</xdr:colOff>
      <xdr:row>24</xdr:row>
      <xdr:rowOff>31612</xdr:rowOff>
    </xdr:to>
    <xdr:cxnSp macro="">
      <xdr:nvCxnSpPr>
        <xdr:cNvPr id="18" name="Прямая со стрелкой 17">
          <a:extLst>
            <a:ext uri="{FF2B5EF4-FFF2-40B4-BE49-F238E27FC236}">
              <a16:creationId xmlns:a16="http://schemas.microsoft.com/office/drawing/2014/main" id="{1A12CC74-FABE-4AF6-88EF-638EEF1571DB}"/>
            </a:ext>
          </a:extLst>
        </xdr:cNvPr>
        <xdr:cNvCxnSpPr>
          <a:cxnSpLocks/>
          <a:endCxn id="25" idx="2"/>
        </xdr:cNvCxnSpPr>
      </xdr:nvCxnSpPr>
      <xdr:spPr>
        <a:xfrm flipV="1">
          <a:off x="8220500" y="2362762"/>
          <a:ext cx="982891" cy="716850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18</xdr:col>
      <xdr:colOff>394446</xdr:colOff>
      <xdr:row>20</xdr:row>
      <xdr:rowOff>159122</xdr:rowOff>
    </xdr:from>
    <xdr:ext cx="498150" cy="298800"/>
    <xdr:sp macro="" textlink="">
      <xdr:nvSpPr>
        <xdr:cNvPr id="19" name="TextBox 18">
          <a:extLst>
            <a:ext uri="{FF2B5EF4-FFF2-40B4-BE49-F238E27FC236}">
              <a16:creationId xmlns:a16="http://schemas.microsoft.com/office/drawing/2014/main" id="{7121C77A-58B6-4E0B-9492-7429EFC98045}"/>
            </a:ext>
          </a:extLst>
        </xdr:cNvPr>
        <xdr:cNvSpPr txBox="1"/>
      </xdr:nvSpPr>
      <xdr:spPr>
        <a:xfrm>
          <a:off x="8319246" y="2445122"/>
          <a:ext cx="498150" cy="29880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ru-RU" sz="1400">
              <a:latin typeface="Times New Roman" panose="02020603050405020304" pitchFamily="18" charset="0"/>
              <a:cs typeface="Times New Roman" panose="02020603050405020304" pitchFamily="18" charset="0"/>
            </a:rPr>
            <a:t>Д=5</a:t>
          </a:r>
        </a:p>
      </xdr:txBody>
    </xdr:sp>
    <xdr:clientData/>
  </xdr:oneCellAnchor>
  <xdr:twoCellAnchor>
    <xdr:from>
      <xdr:col>13</xdr:col>
      <xdr:colOff>584811</xdr:colOff>
      <xdr:row>21</xdr:row>
      <xdr:rowOff>3129</xdr:rowOff>
    </xdr:from>
    <xdr:to>
      <xdr:col>18</xdr:col>
      <xdr:colOff>186156</xdr:colOff>
      <xdr:row>32</xdr:row>
      <xdr:rowOff>4719</xdr:rowOff>
    </xdr:to>
    <xdr:cxnSp macro="">
      <xdr:nvCxnSpPr>
        <xdr:cNvPr id="20" name="Прямая со стрелкой 19">
          <a:extLst>
            <a:ext uri="{FF2B5EF4-FFF2-40B4-BE49-F238E27FC236}">
              <a16:creationId xmlns:a16="http://schemas.microsoft.com/office/drawing/2014/main" id="{580C7CE6-7C6F-48C2-92FB-CC9919F4D85F}"/>
            </a:ext>
          </a:extLst>
        </xdr:cNvPr>
        <xdr:cNvCxnSpPr>
          <a:stCxn id="6" idx="5"/>
          <a:endCxn id="22" idx="1"/>
        </xdr:cNvCxnSpPr>
      </xdr:nvCxnSpPr>
      <xdr:spPr>
        <a:xfrm>
          <a:off x="5461611" y="2479629"/>
          <a:ext cx="2649345" cy="2097090"/>
        </a:xfrm>
        <a:prstGeom prst="straightConnector1">
          <a:avLst/>
        </a:prstGeom>
        <a:ln>
          <a:solidFill>
            <a:schemeClr val="tx1"/>
          </a:solidFill>
          <a:prstDash val="dash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135593</xdr:colOff>
      <xdr:row>33</xdr:row>
      <xdr:rowOff>2804</xdr:rowOff>
    </xdr:from>
    <xdr:to>
      <xdr:col>18</xdr:col>
      <xdr:colOff>108698</xdr:colOff>
      <xdr:row>33</xdr:row>
      <xdr:rowOff>5044</xdr:rowOff>
    </xdr:to>
    <xdr:cxnSp macro="">
      <xdr:nvCxnSpPr>
        <xdr:cNvPr id="21" name="Прямая со стрелкой 20">
          <a:extLst>
            <a:ext uri="{FF2B5EF4-FFF2-40B4-BE49-F238E27FC236}">
              <a16:creationId xmlns:a16="http://schemas.microsoft.com/office/drawing/2014/main" id="{AFBFCC25-B4CE-4025-A62E-E1E0868510C1}"/>
            </a:ext>
          </a:extLst>
        </xdr:cNvPr>
        <xdr:cNvCxnSpPr>
          <a:stCxn id="9" idx="6"/>
          <a:endCxn id="22" idx="2"/>
        </xdr:cNvCxnSpPr>
      </xdr:nvCxnSpPr>
      <xdr:spPr>
        <a:xfrm flipV="1">
          <a:off x="5621993" y="4765304"/>
          <a:ext cx="2411505" cy="2240"/>
        </a:xfrm>
        <a:prstGeom prst="straightConnector1">
          <a:avLst/>
        </a:prstGeom>
        <a:ln>
          <a:solidFill>
            <a:schemeClr val="tx1"/>
          </a:solidFill>
          <a:prstDash val="dash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108698</xdr:colOff>
      <xdr:row>31</xdr:row>
      <xdr:rowOff>117104</xdr:rowOff>
    </xdr:from>
    <xdr:to>
      <xdr:col>19</xdr:col>
      <xdr:colOff>32498</xdr:colOff>
      <xdr:row>34</xdr:row>
      <xdr:rowOff>79004</xdr:rowOff>
    </xdr:to>
    <xdr:sp macro="" textlink="">
      <xdr:nvSpPr>
        <xdr:cNvPr id="22" name="Овал 21">
          <a:extLst>
            <a:ext uri="{FF2B5EF4-FFF2-40B4-BE49-F238E27FC236}">
              <a16:creationId xmlns:a16="http://schemas.microsoft.com/office/drawing/2014/main" id="{228A9352-3F63-4C6C-A426-4F76FB609B83}"/>
            </a:ext>
          </a:extLst>
        </xdr:cNvPr>
        <xdr:cNvSpPr/>
      </xdr:nvSpPr>
      <xdr:spPr>
        <a:xfrm>
          <a:off x="8033498" y="4498604"/>
          <a:ext cx="533400" cy="533400"/>
        </a:xfrm>
        <a:prstGeom prst="ellipse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ru-RU" sz="1800">
              <a:solidFill>
                <a:schemeClr val="tx1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7</a:t>
          </a:r>
        </a:p>
      </xdr:txBody>
    </xdr:sp>
    <xdr:clientData/>
  </xdr:twoCellAnchor>
  <xdr:twoCellAnchor>
    <xdr:from>
      <xdr:col>18</xdr:col>
      <xdr:colOff>262082</xdr:colOff>
      <xdr:row>26</xdr:row>
      <xdr:rowOff>27782</xdr:rowOff>
    </xdr:from>
    <xdr:to>
      <xdr:col>19</xdr:col>
      <xdr:colOff>570380</xdr:colOff>
      <xdr:row>29</xdr:row>
      <xdr:rowOff>27456</xdr:rowOff>
    </xdr:to>
    <xdr:cxnSp macro="">
      <xdr:nvCxnSpPr>
        <xdr:cNvPr id="23" name="Прямая со стрелкой 22">
          <a:extLst>
            <a:ext uri="{FF2B5EF4-FFF2-40B4-BE49-F238E27FC236}">
              <a16:creationId xmlns:a16="http://schemas.microsoft.com/office/drawing/2014/main" id="{D085BA52-9ECF-4051-BFCA-772CE129C509}"/>
            </a:ext>
          </a:extLst>
        </xdr:cNvPr>
        <xdr:cNvCxnSpPr>
          <a:stCxn id="17" idx="5"/>
          <a:endCxn id="28" idx="2"/>
        </xdr:cNvCxnSpPr>
      </xdr:nvCxnSpPr>
      <xdr:spPr>
        <a:xfrm>
          <a:off x="8186882" y="3456782"/>
          <a:ext cx="917898" cy="571174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18</xdr:col>
      <xdr:colOff>255494</xdr:colOff>
      <xdr:row>27</xdr:row>
      <xdr:rowOff>53788</xdr:rowOff>
    </xdr:from>
    <xdr:ext cx="485326" cy="298800"/>
    <xdr:sp macro="" textlink="">
      <xdr:nvSpPr>
        <xdr:cNvPr id="24" name="TextBox 23">
          <a:extLst>
            <a:ext uri="{FF2B5EF4-FFF2-40B4-BE49-F238E27FC236}">
              <a16:creationId xmlns:a16="http://schemas.microsoft.com/office/drawing/2014/main" id="{3E9D85EC-278A-4E55-B5D5-C7337DD6B1A5}"/>
            </a:ext>
          </a:extLst>
        </xdr:cNvPr>
        <xdr:cNvSpPr txBox="1"/>
      </xdr:nvSpPr>
      <xdr:spPr>
        <a:xfrm>
          <a:off x="8180294" y="3673288"/>
          <a:ext cx="485326" cy="29880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ru-RU" sz="1400">
              <a:latin typeface="Times New Roman" panose="02020603050405020304" pitchFamily="18" charset="0"/>
              <a:cs typeface="Times New Roman" panose="02020603050405020304" pitchFamily="18" charset="0"/>
            </a:rPr>
            <a:t>Е=6</a:t>
          </a:r>
        </a:p>
      </xdr:txBody>
    </xdr:sp>
    <xdr:clientData/>
  </xdr:oneCellAnchor>
  <xdr:twoCellAnchor>
    <xdr:from>
      <xdr:col>20</xdr:col>
      <xdr:colOff>59391</xdr:colOff>
      <xdr:row>19</xdr:row>
      <xdr:rowOff>562</xdr:rowOff>
    </xdr:from>
    <xdr:to>
      <xdr:col>20</xdr:col>
      <xdr:colOff>588309</xdr:colOff>
      <xdr:row>21</xdr:row>
      <xdr:rowOff>152962</xdr:rowOff>
    </xdr:to>
    <xdr:sp macro="" textlink="">
      <xdr:nvSpPr>
        <xdr:cNvPr id="25" name="Овал 24">
          <a:extLst>
            <a:ext uri="{FF2B5EF4-FFF2-40B4-BE49-F238E27FC236}">
              <a16:creationId xmlns:a16="http://schemas.microsoft.com/office/drawing/2014/main" id="{1F4C7FB2-B0A3-4C22-AA31-266334888176}"/>
            </a:ext>
          </a:extLst>
        </xdr:cNvPr>
        <xdr:cNvSpPr/>
      </xdr:nvSpPr>
      <xdr:spPr>
        <a:xfrm>
          <a:off x="9203391" y="2096062"/>
          <a:ext cx="528918" cy="533400"/>
        </a:xfrm>
        <a:prstGeom prst="ellipse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ru-RU" sz="1800">
              <a:solidFill>
                <a:schemeClr val="tx1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8</a:t>
          </a:r>
        </a:p>
      </xdr:txBody>
    </xdr:sp>
    <xdr:clientData/>
  </xdr:twoCellAnchor>
  <xdr:twoCellAnchor>
    <xdr:from>
      <xdr:col>19</xdr:col>
      <xdr:colOff>32498</xdr:colOff>
      <xdr:row>33</xdr:row>
      <xdr:rowOff>2804</xdr:rowOff>
    </xdr:from>
    <xdr:to>
      <xdr:col>25</xdr:col>
      <xdr:colOff>32232</xdr:colOff>
      <xdr:row>38</xdr:row>
      <xdr:rowOff>80947</xdr:rowOff>
    </xdr:to>
    <xdr:cxnSp macro="">
      <xdr:nvCxnSpPr>
        <xdr:cNvPr id="26" name="Прямая со стрелкой 25">
          <a:extLst>
            <a:ext uri="{FF2B5EF4-FFF2-40B4-BE49-F238E27FC236}">
              <a16:creationId xmlns:a16="http://schemas.microsoft.com/office/drawing/2014/main" id="{99C2F117-24D6-47D8-A525-BC6A1211BFF2}"/>
            </a:ext>
          </a:extLst>
        </xdr:cNvPr>
        <xdr:cNvCxnSpPr>
          <a:stCxn id="22" idx="6"/>
          <a:endCxn id="42" idx="1"/>
        </xdr:cNvCxnSpPr>
      </xdr:nvCxnSpPr>
      <xdr:spPr>
        <a:xfrm>
          <a:off x="8566898" y="4765304"/>
          <a:ext cx="3657334" cy="1030643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19</xdr:col>
      <xdr:colOff>340659</xdr:colOff>
      <xdr:row>31</xdr:row>
      <xdr:rowOff>116541</xdr:rowOff>
    </xdr:from>
    <xdr:ext cx="505331" cy="298800"/>
    <xdr:sp macro="" textlink="">
      <xdr:nvSpPr>
        <xdr:cNvPr id="27" name="TextBox 26">
          <a:extLst>
            <a:ext uri="{FF2B5EF4-FFF2-40B4-BE49-F238E27FC236}">
              <a16:creationId xmlns:a16="http://schemas.microsoft.com/office/drawing/2014/main" id="{EE90117C-D447-4136-B0A2-73F38C6D32ED}"/>
            </a:ext>
          </a:extLst>
        </xdr:cNvPr>
        <xdr:cNvSpPr txBox="1"/>
      </xdr:nvSpPr>
      <xdr:spPr>
        <a:xfrm>
          <a:off x="8875059" y="4498041"/>
          <a:ext cx="505331" cy="29880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ru-RU" sz="1400">
              <a:latin typeface="Times New Roman" panose="02020603050405020304" pitchFamily="18" charset="0"/>
              <a:cs typeface="Times New Roman" panose="02020603050405020304" pitchFamily="18" charset="0"/>
            </a:rPr>
            <a:t>Н=7</a:t>
          </a:r>
        </a:p>
      </xdr:txBody>
    </xdr:sp>
    <xdr:clientData/>
  </xdr:oneCellAnchor>
  <xdr:twoCellAnchor>
    <xdr:from>
      <xdr:col>19</xdr:col>
      <xdr:colOff>570380</xdr:colOff>
      <xdr:row>27</xdr:row>
      <xdr:rowOff>141756</xdr:rowOff>
    </xdr:from>
    <xdr:to>
      <xdr:col>20</xdr:col>
      <xdr:colOff>494180</xdr:colOff>
      <xdr:row>30</xdr:row>
      <xdr:rowOff>103656</xdr:rowOff>
    </xdr:to>
    <xdr:sp macro="" textlink="">
      <xdr:nvSpPr>
        <xdr:cNvPr id="28" name="Овал 27">
          <a:extLst>
            <a:ext uri="{FF2B5EF4-FFF2-40B4-BE49-F238E27FC236}">
              <a16:creationId xmlns:a16="http://schemas.microsoft.com/office/drawing/2014/main" id="{7C7891C8-BF49-4A62-A05D-65E981317B92}"/>
            </a:ext>
          </a:extLst>
        </xdr:cNvPr>
        <xdr:cNvSpPr/>
      </xdr:nvSpPr>
      <xdr:spPr>
        <a:xfrm>
          <a:off x="9104780" y="3761256"/>
          <a:ext cx="533400" cy="533400"/>
        </a:xfrm>
        <a:prstGeom prst="ellipse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ru-RU" sz="1800">
              <a:solidFill>
                <a:schemeClr val="tx1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9</a:t>
          </a:r>
        </a:p>
      </xdr:txBody>
    </xdr:sp>
    <xdr:clientData/>
  </xdr:twoCellAnchor>
  <xdr:twoCellAnchor>
    <xdr:from>
      <xdr:col>20</xdr:col>
      <xdr:colOff>416722</xdr:colOff>
      <xdr:row>25</xdr:row>
      <xdr:rowOff>141491</xdr:rowOff>
    </xdr:from>
    <xdr:to>
      <xdr:col>21</xdr:col>
      <xdr:colOff>467020</xdr:colOff>
      <xdr:row>28</xdr:row>
      <xdr:rowOff>29371</xdr:rowOff>
    </xdr:to>
    <xdr:cxnSp macro="">
      <xdr:nvCxnSpPr>
        <xdr:cNvPr id="29" name="Прямая со стрелкой 28">
          <a:extLst>
            <a:ext uri="{FF2B5EF4-FFF2-40B4-BE49-F238E27FC236}">
              <a16:creationId xmlns:a16="http://schemas.microsoft.com/office/drawing/2014/main" id="{932B3CB1-DCD2-4F4C-ACC2-A20A48D071B5}"/>
            </a:ext>
          </a:extLst>
        </xdr:cNvPr>
        <xdr:cNvCxnSpPr>
          <a:stCxn id="28" idx="7"/>
          <a:endCxn id="31" idx="3"/>
        </xdr:cNvCxnSpPr>
      </xdr:nvCxnSpPr>
      <xdr:spPr>
        <a:xfrm flipV="1">
          <a:off x="9560722" y="3379991"/>
          <a:ext cx="659898" cy="459380"/>
        </a:xfrm>
        <a:prstGeom prst="straightConnector1">
          <a:avLst/>
        </a:prstGeom>
        <a:ln>
          <a:solidFill>
            <a:schemeClr val="tx1"/>
          </a:solidFill>
          <a:prstDash val="dash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510851</xdr:colOff>
      <xdr:row>21</xdr:row>
      <xdr:rowOff>74847</xdr:rowOff>
    </xdr:from>
    <xdr:to>
      <xdr:col>21</xdr:col>
      <xdr:colOff>467020</xdr:colOff>
      <xdr:row>23</xdr:row>
      <xdr:rowOff>123530</xdr:rowOff>
    </xdr:to>
    <xdr:cxnSp macro="">
      <xdr:nvCxnSpPr>
        <xdr:cNvPr id="30" name="Прямая со стрелкой 29">
          <a:extLst>
            <a:ext uri="{FF2B5EF4-FFF2-40B4-BE49-F238E27FC236}">
              <a16:creationId xmlns:a16="http://schemas.microsoft.com/office/drawing/2014/main" id="{64024273-4F88-4621-9E47-C3C567C1E0F2}"/>
            </a:ext>
          </a:extLst>
        </xdr:cNvPr>
        <xdr:cNvCxnSpPr>
          <a:stCxn id="25" idx="5"/>
          <a:endCxn id="31" idx="1"/>
        </xdr:cNvCxnSpPr>
      </xdr:nvCxnSpPr>
      <xdr:spPr>
        <a:xfrm>
          <a:off x="9654851" y="2551347"/>
          <a:ext cx="565769" cy="429683"/>
        </a:xfrm>
        <a:prstGeom prst="straightConnector1">
          <a:avLst/>
        </a:prstGeom>
        <a:ln>
          <a:solidFill>
            <a:schemeClr val="tx1"/>
          </a:solidFill>
          <a:prstDash val="dash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379879</xdr:colOff>
      <xdr:row>23</xdr:row>
      <xdr:rowOff>40903</xdr:rowOff>
    </xdr:from>
    <xdr:to>
      <xdr:col>22</xdr:col>
      <xdr:colOff>369795</xdr:colOff>
      <xdr:row>26</xdr:row>
      <xdr:rowOff>33618</xdr:rowOff>
    </xdr:to>
    <xdr:sp macro="" textlink="">
      <xdr:nvSpPr>
        <xdr:cNvPr id="31" name="Овал 30">
          <a:extLst>
            <a:ext uri="{FF2B5EF4-FFF2-40B4-BE49-F238E27FC236}">
              <a16:creationId xmlns:a16="http://schemas.microsoft.com/office/drawing/2014/main" id="{489ED891-CA80-41A0-8492-7A1143EB3A94}"/>
            </a:ext>
          </a:extLst>
        </xdr:cNvPr>
        <xdr:cNvSpPr/>
      </xdr:nvSpPr>
      <xdr:spPr>
        <a:xfrm>
          <a:off x="10133479" y="2898403"/>
          <a:ext cx="599516" cy="564215"/>
        </a:xfrm>
        <a:prstGeom prst="ellipse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ru-RU" sz="1600">
              <a:solidFill>
                <a:schemeClr val="tx1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10</a:t>
          </a:r>
        </a:p>
      </xdr:txBody>
    </xdr:sp>
    <xdr:clientData/>
  </xdr:twoCellAnchor>
  <xdr:twoCellAnchor>
    <xdr:from>
      <xdr:col>22</xdr:col>
      <xdr:colOff>369795</xdr:colOff>
      <xdr:row>24</xdr:row>
      <xdr:rowOff>128029</xdr:rowOff>
    </xdr:from>
    <xdr:to>
      <xdr:col>24</xdr:col>
      <xdr:colOff>521074</xdr:colOff>
      <xdr:row>24</xdr:row>
      <xdr:rowOff>132511</xdr:rowOff>
    </xdr:to>
    <xdr:cxnSp macro="">
      <xdr:nvCxnSpPr>
        <xdr:cNvPr id="32" name="Прямая со стрелкой 31">
          <a:extLst>
            <a:ext uri="{FF2B5EF4-FFF2-40B4-BE49-F238E27FC236}">
              <a16:creationId xmlns:a16="http://schemas.microsoft.com/office/drawing/2014/main" id="{CAE37C9F-76F0-4E41-AE87-B19A101866C8}"/>
            </a:ext>
          </a:extLst>
        </xdr:cNvPr>
        <xdr:cNvCxnSpPr>
          <a:stCxn id="31" idx="6"/>
          <a:endCxn id="40" idx="2"/>
        </xdr:cNvCxnSpPr>
      </xdr:nvCxnSpPr>
      <xdr:spPr>
        <a:xfrm flipV="1">
          <a:off x="10732995" y="3176029"/>
          <a:ext cx="1370479" cy="4482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23</xdr:col>
      <xdr:colOff>56029</xdr:colOff>
      <xdr:row>23</xdr:row>
      <xdr:rowOff>22412</xdr:rowOff>
    </xdr:from>
    <xdr:ext cx="536557" cy="298800"/>
    <xdr:sp macro="" textlink="">
      <xdr:nvSpPr>
        <xdr:cNvPr id="33" name="TextBox 32">
          <a:extLst>
            <a:ext uri="{FF2B5EF4-FFF2-40B4-BE49-F238E27FC236}">
              <a16:creationId xmlns:a16="http://schemas.microsoft.com/office/drawing/2014/main" id="{98B5A73D-4EF5-43FE-81DC-AD1742E4BA65}"/>
            </a:ext>
          </a:extLst>
        </xdr:cNvPr>
        <xdr:cNvSpPr txBox="1"/>
      </xdr:nvSpPr>
      <xdr:spPr>
        <a:xfrm>
          <a:off x="11028829" y="2879912"/>
          <a:ext cx="536557" cy="29880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ru-RU" sz="1400">
              <a:latin typeface="Times New Roman" panose="02020603050405020304" pitchFamily="18" charset="0"/>
              <a:cs typeface="Times New Roman" panose="02020603050405020304" pitchFamily="18" charset="0"/>
            </a:rPr>
            <a:t>Ж=8</a:t>
          </a:r>
        </a:p>
      </xdr:txBody>
    </xdr:sp>
    <xdr:clientData/>
  </xdr:oneCellAnchor>
  <xdr:twoCellAnchor>
    <xdr:from>
      <xdr:col>15</xdr:col>
      <xdr:colOff>285749</xdr:colOff>
      <xdr:row>37</xdr:row>
      <xdr:rowOff>114861</xdr:rowOff>
    </xdr:from>
    <xdr:to>
      <xdr:col>16</xdr:col>
      <xdr:colOff>275665</xdr:colOff>
      <xdr:row>40</xdr:row>
      <xdr:rowOff>107576</xdr:rowOff>
    </xdr:to>
    <xdr:sp macro="" textlink="">
      <xdr:nvSpPr>
        <xdr:cNvPr id="34" name="Овал 33">
          <a:extLst>
            <a:ext uri="{FF2B5EF4-FFF2-40B4-BE49-F238E27FC236}">
              <a16:creationId xmlns:a16="http://schemas.microsoft.com/office/drawing/2014/main" id="{7DA1BBDF-33A1-4B9B-A1BF-4EF84394B925}"/>
            </a:ext>
          </a:extLst>
        </xdr:cNvPr>
        <xdr:cNvSpPr/>
      </xdr:nvSpPr>
      <xdr:spPr>
        <a:xfrm>
          <a:off x="6381749" y="5639361"/>
          <a:ext cx="599516" cy="564215"/>
        </a:xfrm>
        <a:prstGeom prst="ellipse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ru-RU" sz="1600">
              <a:solidFill>
                <a:schemeClr val="tx1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11</a:t>
          </a:r>
        </a:p>
      </xdr:txBody>
    </xdr:sp>
    <xdr:clientData/>
  </xdr:twoCellAnchor>
  <xdr:twoCellAnchor>
    <xdr:from>
      <xdr:col>14</xdr:col>
      <xdr:colOff>58135</xdr:colOff>
      <xdr:row>34</xdr:row>
      <xdr:rowOff>3129</xdr:rowOff>
    </xdr:from>
    <xdr:to>
      <xdr:col>15</xdr:col>
      <xdr:colOff>372890</xdr:colOff>
      <xdr:row>38</xdr:row>
      <xdr:rowOff>6988</xdr:rowOff>
    </xdr:to>
    <xdr:cxnSp macro="">
      <xdr:nvCxnSpPr>
        <xdr:cNvPr id="35" name="Прямая со стрелкой 34">
          <a:extLst>
            <a:ext uri="{FF2B5EF4-FFF2-40B4-BE49-F238E27FC236}">
              <a16:creationId xmlns:a16="http://schemas.microsoft.com/office/drawing/2014/main" id="{07E0C539-B4AD-463C-94F2-2EE2FD7A9140}"/>
            </a:ext>
          </a:extLst>
        </xdr:cNvPr>
        <xdr:cNvCxnSpPr>
          <a:cxnSpLocks/>
          <a:stCxn id="9" idx="5"/>
          <a:endCxn id="34" idx="1"/>
        </xdr:cNvCxnSpPr>
      </xdr:nvCxnSpPr>
      <xdr:spPr>
        <a:xfrm>
          <a:off x="5544535" y="4956129"/>
          <a:ext cx="924355" cy="765859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14</xdr:col>
      <xdr:colOff>522196</xdr:colOff>
      <xdr:row>34</xdr:row>
      <xdr:rowOff>163605</xdr:rowOff>
    </xdr:from>
    <xdr:ext cx="465640" cy="298800"/>
    <xdr:sp macro="" textlink="">
      <xdr:nvSpPr>
        <xdr:cNvPr id="36" name="TextBox 35">
          <a:extLst>
            <a:ext uri="{FF2B5EF4-FFF2-40B4-BE49-F238E27FC236}">
              <a16:creationId xmlns:a16="http://schemas.microsoft.com/office/drawing/2014/main" id="{BDD827F8-201B-4F62-86D3-276331AED1F0}"/>
            </a:ext>
          </a:extLst>
        </xdr:cNvPr>
        <xdr:cNvSpPr txBox="1"/>
      </xdr:nvSpPr>
      <xdr:spPr>
        <a:xfrm>
          <a:off x="6008596" y="5116605"/>
          <a:ext cx="465640" cy="29880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ru-RU" sz="1400">
              <a:latin typeface="Times New Roman" panose="02020603050405020304" pitchFamily="18" charset="0"/>
              <a:cs typeface="Times New Roman" panose="02020603050405020304" pitchFamily="18" charset="0"/>
            </a:rPr>
            <a:t>З=1</a:t>
          </a:r>
        </a:p>
      </xdr:txBody>
    </xdr:sp>
    <xdr:clientData/>
  </xdr:oneCellAnchor>
  <xdr:twoCellAnchor>
    <xdr:from>
      <xdr:col>16</xdr:col>
      <xdr:colOff>188375</xdr:colOff>
      <xdr:row>40</xdr:row>
      <xdr:rowOff>24949</xdr:rowOff>
    </xdr:from>
    <xdr:to>
      <xdr:col>28</xdr:col>
      <xdr:colOff>155208</xdr:colOff>
      <xdr:row>45</xdr:row>
      <xdr:rowOff>102691</xdr:rowOff>
    </xdr:to>
    <xdr:cxnSp macro="">
      <xdr:nvCxnSpPr>
        <xdr:cNvPr id="37" name="Прямая со стрелкой 36">
          <a:extLst>
            <a:ext uri="{FF2B5EF4-FFF2-40B4-BE49-F238E27FC236}">
              <a16:creationId xmlns:a16="http://schemas.microsoft.com/office/drawing/2014/main" id="{5871D447-A026-4E5A-84D3-8BD74F0C196B}"/>
            </a:ext>
          </a:extLst>
        </xdr:cNvPr>
        <xdr:cNvCxnSpPr>
          <a:cxnSpLocks/>
          <a:stCxn id="34" idx="5"/>
          <a:endCxn id="53" idx="3"/>
        </xdr:cNvCxnSpPr>
      </xdr:nvCxnSpPr>
      <xdr:spPr>
        <a:xfrm>
          <a:off x="6893975" y="6120949"/>
          <a:ext cx="7282033" cy="1030242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20</xdr:col>
      <xdr:colOff>468960</xdr:colOff>
      <xdr:row>42</xdr:row>
      <xdr:rowOff>45026</xdr:rowOff>
    </xdr:from>
    <xdr:ext cx="505331" cy="298800"/>
    <xdr:sp macro="" textlink="">
      <xdr:nvSpPr>
        <xdr:cNvPr id="38" name="TextBox 37">
          <a:extLst>
            <a:ext uri="{FF2B5EF4-FFF2-40B4-BE49-F238E27FC236}">
              <a16:creationId xmlns:a16="http://schemas.microsoft.com/office/drawing/2014/main" id="{3457FE3E-262F-4205-8EBA-F9732859592B}"/>
            </a:ext>
          </a:extLst>
        </xdr:cNvPr>
        <xdr:cNvSpPr txBox="1"/>
      </xdr:nvSpPr>
      <xdr:spPr>
        <a:xfrm>
          <a:off x="9612960" y="6522026"/>
          <a:ext cx="505331" cy="29880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ru-RU" sz="1400">
              <a:latin typeface="Times New Roman" panose="02020603050405020304" pitchFamily="18" charset="0"/>
              <a:cs typeface="Times New Roman" panose="02020603050405020304" pitchFamily="18" charset="0"/>
            </a:rPr>
            <a:t>И=2</a:t>
          </a:r>
        </a:p>
      </xdr:txBody>
    </xdr:sp>
    <xdr:clientData/>
  </xdr:oneCellAnchor>
  <xdr:twoCellAnchor>
    <xdr:from>
      <xdr:col>16</xdr:col>
      <xdr:colOff>275665</xdr:colOff>
      <xdr:row>39</xdr:row>
      <xdr:rowOff>15969</xdr:rowOff>
    </xdr:from>
    <xdr:to>
      <xdr:col>24</xdr:col>
      <xdr:colOff>550209</xdr:colOff>
      <xdr:row>39</xdr:row>
      <xdr:rowOff>89928</xdr:rowOff>
    </xdr:to>
    <xdr:cxnSp macro="">
      <xdr:nvCxnSpPr>
        <xdr:cNvPr id="39" name="Прямая со стрелкой 38">
          <a:extLst>
            <a:ext uri="{FF2B5EF4-FFF2-40B4-BE49-F238E27FC236}">
              <a16:creationId xmlns:a16="http://schemas.microsoft.com/office/drawing/2014/main" id="{40D31227-1ACF-4044-9192-B36169E757BD}"/>
            </a:ext>
          </a:extLst>
        </xdr:cNvPr>
        <xdr:cNvCxnSpPr>
          <a:stCxn id="34" idx="6"/>
          <a:endCxn id="42" idx="2"/>
        </xdr:cNvCxnSpPr>
      </xdr:nvCxnSpPr>
      <xdr:spPr>
        <a:xfrm>
          <a:off x="6981265" y="5921469"/>
          <a:ext cx="5151344" cy="73959"/>
        </a:xfrm>
        <a:prstGeom prst="straightConnector1">
          <a:avLst/>
        </a:prstGeom>
        <a:ln>
          <a:solidFill>
            <a:schemeClr val="tx1"/>
          </a:solidFill>
          <a:prstDash val="dash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24</xdr:col>
      <xdr:colOff>521074</xdr:colOff>
      <xdr:row>23</xdr:row>
      <xdr:rowOff>36421</xdr:rowOff>
    </xdr:from>
    <xdr:to>
      <xdr:col>25</xdr:col>
      <xdr:colOff>510990</xdr:colOff>
      <xdr:row>26</xdr:row>
      <xdr:rowOff>29136</xdr:rowOff>
    </xdr:to>
    <xdr:sp macro="" textlink="">
      <xdr:nvSpPr>
        <xdr:cNvPr id="40" name="Овал 39">
          <a:extLst>
            <a:ext uri="{FF2B5EF4-FFF2-40B4-BE49-F238E27FC236}">
              <a16:creationId xmlns:a16="http://schemas.microsoft.com/office/drawing/2014/main" id="{CA6B0574-37E4-43D7-AAA7-590DBDF837E0}"/>
            </a:ext>
          </a:extLst>
        </xdr:cNvPr>
        <xdr:cNvSpPr/>
      </xdr:nvSpPr>
      <xdr:spPr>
        <a:xfrm>
          <a:off x="12103474" y="2893921"/>
          <a:ext cx="599516" cy="564215"/>
        </a:xfrm>
        <a:prstGeom prst="ellipse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ru-RU" sz="1600">
              <a:solidFill>
                <a:schemeClr val="tx1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12</a:t>
          </a:r>
        </a:p>
      </xdr:txBody>
    </xdr:sp>
    <xdr:clientData/>
  </xdr:twoCellAnchor>
  <xdr:twoCellAnchor>
    <xdr:from>
      <xdr:col>25</xdr:col>
      <xdr:colOff>213473</xdr:colOff>
      <xdr:row>26</xdr:row>
      <xdr:rowOff>29136</xdr:rowOff>
    </xdr:from>
    <xdr:to>
      <xdr:col>25</xdr:col>
      <xdr:colOff>242608</xdr:colOff>
      <xdr:row>37</xdr:row>
      <xdr:rowOff>188820</xdr:rowOff>
    </xdr:to>
    <xdr:cxnSp macro="">
      <xdr:nvCxnSpPr>
        <xdr:cNvPr id="41" name="Прямая со стрелкой 40">
          <a:extLst>
            <a:ext uri="{FF2B5EF4-FFF2-40B4-BE49-F238E27FC236}">
              <a16:creationId xmlns:a16="http://schemas.microsoft.com/office/drawing/2014/main" id="{3093A812-9637-4F4A-B938-0FAF346B2046}"/>
            </a:ext>
          </a:extLst>
        </xdr:cNvPr>
        <xdr:cNvCxnSpPr>
          <a:stCxn id="40" idx="4"/>
          <a:endCxn id="42" idx="0"/>
        </xdr:cNvCxnSpPr>
      </xdr:nvCxnSpPr>
      <xdr:spPr>
        <a:xfrm>
          <a:off x="12405473" y="3458136"/>
          <a:ext cx="29135" cy="2255184"/>
        </a:xfrm>
        <a:prstGeom prst="straightConnector1">
          <a:avLst/>
        </a:prstGeom>
        <a:ln>
          <a:solidFill>
            <a:schemeClr val="tx1"/>
          </a:solidFill>
          <a:prstDash val="dash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24</xdr:col>
      <xdr:colOff>550209</xdr:colOff>
      <xdr:row>37</xdr:row>
      <xdr:rowOff>188820</xdr:rowOff>
    </xdr:from>
    <xdr:to>
      <xdr:col>25</xdr:col>
      <xdr:colOff>540125</xdr:colOff>
      <xdr:row>40</xdr:row>
      <xdr:rowOff>181535</xdr:rowOff>
    </xdr:to>
    <xdr:sp macro="" textlink="">
      <xdr:nvSpPr>
        <xdr:cNvPr id="42" name="Овал 41">
          <a:extLst>
            <a:ext uri="{FF2B5EF4-FFF2-40B4-BE49-F238E27FC236}">
              <a16:creationId xmlns:a16="http://schemas.microsoft.com/office/drawing/2014/main" id="{CD26915D-FE49-4883-9662-B05AD33FEE8F}"/>
            </a:ext>
          </a:extLst>
        </xdr:cNvPr>
        <xdr:cNvSpPr/>
      </xdr:nvSpPr>
      <xdr:spPr>
        <a:xfrm>
          <a:off x="12132609" y="5713320"/>
          <a:ext cx="599516" cy="564215"/>
        </a:xfrm>
        <a:prstGeom prst="ellipse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ru-RU" sz="1600">
              <a:solidFill>
                <a:schemeClr val="tx1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13</a:t>
          </a:r>
        </a:p>
      </xdr:txBody>
    </xdr:sp>
    <xdr:clientData/>
  </xdr:twoCellAnchor>
  <xdr:twoCellAnchor>
    <xdr:from>
      <xdr:col>25</xdr:col>
      <xdr:colOff>540125</xdr:colOff>
      <xdr:row>39</xdr:row>
      <xdr:rowOff>89928</xdr:rowOff>
    </xdr:from>
    <xdr:to>
      <xdr:col>28</xdr:col>
      <xdr:colOff>155208</xdr:colOff>
      <xdr:row>43</xdr:row>
      <xdr:rowOff>84730</xdr:rowOff>
    </xdr:to>
    <xdr:cxnSp macro="">
      <xdr:nvCxnSpPr>
        <xdr:cNvPr id="43" name="Прямая со стрелкой 42">
          <a:extLst>
            <a:ext uri="{FF2B5EF4-FFF2-40B4-BE49-F238E27FC236}">
              <a16:creationId xmlns:a16="http://schemas.microsoft.com/office/drawing/2014/main" id="{73076BCF-AE99-4FC6-AC5A-FDB38E00BFD6}"/>
            </a:ext>
          </a:extLst>
        </xdr:cNvPr>
        <xdr:cNvCxnSpPr>
          <a:stCxn id="42" idx="6"/>
          <a:endCxn id="53" idx="1"/>
        </xdr:cNvCxnSpPr>
      </xdr:nvCxnSpPr>
      <xdr:spPr>
        <a:xfrm>
          <a:off x="12732125" y="5995428"/>
          <a:ext cx="1443883" cy="756802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26</xdr:col>
      <xdr:colOff>96370</xdr:colOff>
      <xdr:row>37</xdr:row>
      <xdr:rowOff>152400</xdr:rowOff>
    </xdr:from>
    <xdr:ext cx="495457" cy="298800"/>
    <xdr:sp macro="" textlink="">
      <xdr:nvSpPr>
        <xdr:cNvPr id="44" name="TextBox 43">
          <a:extLst>
            <a:ext uri="{FF2B5EF4-FFF2-40B4-BE49-F238E27FC236}">
              <a16:creationId xmlns:a16="http://schemas.microsoft.com/office/drawing/2014/main" id="{1C725592-42FF-4D1D-9130-B341456190CB}"/>
            </a:ext>
          </a:extLst>
        </xdr:cNvPr>
        <xdr:cNvSpPr txBox="1"/>
      </xdr:nvSpPr>
      <xdr:spPr>
        <a:xfrm>
          <a:off x="12897970" y="5676900"/>
          <a:ext cx="495457" cy="29880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ru-RU" sz="1400">
              <a:latin typeface="Times New Roman" panose="02020603050405020304" pitchFamily="18" charset="0"/>
              <a:cs typeface="Times New Roman" panose="02020603050405020304" pitchFamily="18" charset="0"/>
            </a:rPr>
            <a:t>К=3</a:t>
          </a:r>
        </a:p>
      </xdr:txBody>
    </xdr:sp>
    <xdr:clientData/>
  </xdr:oneCellAnchor>
  <xdr:twoCellAnchor>
    <xdr:from>
      <xdr:col>13</xdr:col>
      <xdr:colOff>584811</xdr:colOff>
      <xdr:row>14</xdr:row>
      <xdr:rowOff>139235</xdr:rowOff>
    </xdr:from>
    <xdr:to>
      <xdr:col>17</xdr:col>
      <xdr:colOff>240925</xdr:colOff>
      <xdr:row>19</xdr:row>
      <xdr:rowOff>6959</xdr:rowOff>
    </xdr:to>
    <xdr:cxnSp macro="">
      <xdr:nvCxnSpPr>
        <xdr:cNvPr id="45" name="Прямая со стрелкой 44">
          <a:extLst>
            <a:ext uri="{FF2B5EF4-FFF2-40B4-BE49-F238E27FC236}">
              <a16:creationId xmlns:a16="http://schemas.microsoft.com/office/drawing/2014/main" id="{93F5190C-9CA5-4080-B3F8-5B5153BBD7F5}"/>
            </a:ext>
          </a:extLst>
        </xdr:cNvPr>
        <xdr:cNvCxnSpPr>
          <a:stCxn id="6" idx="7"/>
          <a:endCxn id="47" idx="2"/>
        </xdr:cNvCxnSpPr>
      </xdr:nvCxnSpPr>
      <xdr:spPr>
        <a:xfrm flipV="1">
          <a:off x="5461611" y="1282235"/>
          <a:ext cx="2094514" cy="820224"/>
        </a:xfrm>
        <a:prstGeom prst="straightConnector1">
          <a:avLst/>
        </a:prstGeom>
        <a:ln>
          <a:solidFill>
            <a:schemeClr val="tx1"/>
          </a:solidFill>
          <a:prstDash val="dash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287992</xdr:colOff>
      <xdr:row>16</xdr:row>
      <xdr:rowOff>40342</xdr:rowOff>
    </xdr:from>
    <xdr:to>
      <xdr:col>17</xdr:col>
      <xdr:colOff>538442</xdr:colOff>
      <xdr:row>28</xdr:row>
      <xdr:rowOff>132791</xdr:rowOff>
    </xdr:to>
    <xdr:cxnSp macro="">
      <xdr:nvCxnSpPr>
        <xdr:cNvPr id="46" name="Прямая со стрелкой 45">
          <a:extLst>
            <a:ext uri="{FF2B5EF4-FFF2-40B4-BE49-F238E27FC236}">
              <a16:creationId xmlns:a16="http://schemas.microsoft.com/office/drawing/2014/main" id="{FBC7CAED-3878-4170-93DF-6B95417E58EB}"/>
            </a:ext>
          </a:extLst>
        </xdr:cNvPr>
        <xdr:cNvCxnSpPr>
          <a:stCxn id="14" idx="0"/>
          <a:endCxn id="47" idx="4"/>
        </xdr:cNvCxnSpPr>
      </xdr:nvCxnSpPr>
      <xdr:spPr>
        <a:xfrm flipV="1">
          <a:off x="6993592" y="1564342"/>
          <a:ext cx="860050" cy="2378449"/>
        </a:xfrm>
        <a:prstGeom prst="straightConnector1">
          <a:avLst/>
        </a:prstGeom>
        <a:ln>
          <a:solidFill>
            <a:schemeClr val="tx1"/>
          </a:solidFill>
          <a:prstDash val="dash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240925</xdr:colOff>
      <xdr:row>13</xdr:row>
      <xdr:rowOff>47627</xdr:rowOff>
    </xdr:from>
    <xdr:to>
      <xdr:col>18</xdr:col>
      <xdr:colOff>230842</xdr:colOff>
      <xdr:row>16</xdr:row>
      <xdr:rowOff>40342</xdr:rowOff>
    </xdr:to>
    <xdr:sp macro="" textlink="">
      <xdr:nvSpPr>
        <xdr:cNvPr id="47" name="Овал 46">
          <a:extLst>
            <a:ext uri="{FF2B5EF4-FFF2-40B4-BE49-F238E27FC236}">
              <a16:creationId xmlns:a16="http://schemas.microsoft.com/office/drawing/2014/main" id="{E905A8AA-9C91-4B4D-880A-021DD6D1FCDC}"/>
            </a:ext>
          </a:extLst>
        </xdr:cNvPr>
        <xdr:cNvSpPr/>
      </xdr:nvSpPr>
      <xdr:spPr>
        <a:xfrm>
          <a:off x="7556125" y="1000127"/>
          <a:ext cx="599517" cy="564215"/>
        </a:xfrm>
        <a:prstGeom prst="ellipse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ru-RU" sz="1600">
              <a:solidFill>
                <a:schemeClr val="tx1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14</a:t>
          </a:r>
        </a:p>
      </xdr:txBody>
    </xdr:sp>
    <xdr:clientData/>
  </xdr:twoCellAnchor>
  <xdr:twoCellAnchor>
    <xdr:from>
      <xdr:col>18</xdr:col>
      <xdr:colOff>230842</xdr:colOff>
      <xdr:row>14</xdr:row>
      <xdr:rowOff>139235</xdr:rowOff>
    </xdr:from>
    <xdr:to>
      <xdr:col>27</xdr:col>
      <xdr:colOff>148398</xdr:colOff>
      <xdr:row>15</xdr:row>
      <xdr:rowOff>66716</xdr:rowOff>
    </xdr:to>
    <xdr:cxnSp macro="">
      <xdr:nvCxnSpPr>
        <xdr:cNvPr id="48" name="Прямая со стрелкой 47">
          <a:extLst>
            <a:ext uri="{FF2B5EF4-FFF2-40B4-BE49-F238E27FC236}">
              <a16:creationId xmlns:a16="http://schemas.microsoft.com/office/drawing/2014/main" id="{282E587E-8B7E-4937-81CA-B6D563249EB8}"/>
            </a:ext>
          </a:extLst>
        </xdr:cNvPr>
        <xdr:cNvCxnSpPr>
          <a:cxnSpLocks/>
          <a:stCxn id="47" idx="6"/>
          <a:endCxn id="50" idx="2"/>
        </xdr:cNvCxnSpPr>
      </xdr:nvCxnSpPr>
      <xdr:spPr>
        <a:xfrm>
          <a:off x="8155642" y="1282235"/>
          <a:ext cx="5403956" cy="117981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22</xdr:col>
      <xdr:colOff>267021</xdr:colOff>
      <xdr:row>13</xdr:row>
      <xdr:rowOff>106136</xdr:rowOff>
    </xdr:from>
    <xdr:ext cx="497444" cy="298800"/>
    <xdr:sp macro="" textlink="">
      <xdr:nvSpPr>
        <xdr:cNvPr id="49" name="TextBox 48">
          <a:extLst>
            <a:ext uri="{FF2B5EF4-FFF2-40B4-BE49-F238E27FC236}">
              <a16:creationId xmlns:a16="http://schemas.microsoft.com/office/drawing/2014/main" id="{E4CA34ED-8E93-47E2-AF4D-862FE88CA39F}"/>
            </a:ext>
          </a:extLst>
        </xdr:cNvPr>
        <xdr:cNvSpPr txBox="1"/>
      </xdr:nvSpPr>
      <xdr:spPr>
        <a:xfrm>
          <a:off x="10630221" y="1058636"/>
          <a:ext cx="497444" cy="29880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ru-RU" sz="1400">
              <a:latin typeface="Times New Roman" panose="02020603050405020304" pitchFamily="18" charset="0"/>
              <a:cs typeface="Times New Roman" panose="02020603050405020304" pitchFamily="18" charset="0"/>
            </a:rPr>
            <a:t>Л=4</a:t>
          </a:r>
        </a:p>
      </xdr:txBody>
    </xdr:sp>
    <xdr:clientData/>
  </xdr:oneCellAnchor>
  <xdr:twoCellAnchor>
    <xdr:from>
      <xdr:col>27</xdr:col>
      <xdr:colOff>148398</xdr:colOff>
      <xdr:row>13</xdr:row>
      <xdr:rowOff>165608</xdr:rowOff>
    </xdr:from>
    <xdr:to>
      <xdr:col>28</xdr:col>
      <xdr:colOff>138313</xdr:colOff>
      <xdr:row>16</xdr:row>
      <xdr:rowOff>158323</xdr:rowOff>
    </xdr:to>
    <xdr:sp macro="" textlink="">
      <xdr:nvSpPr>
        <xdr:cNvPr id="50" name="Овал 49">
          <a:extLst>
            <a:ext uri="{FF2B5EF4-FFF2-40B4-BE49-F238E27FC236}">
              <a16:creationId xmlns:a16="http://schemas.microsoft.com/office/drawing/2014/main" id="{CE87D704-B2DA-4542-809C-AA02ECD84230}"/>
            </a:ext>
          </a:extLst>
        </xdr:cNvPr>
        <xdr:cNvSpPr/>
      </xdr:nvSpPr>
      <xdr:spPr>
        <a:xfrm>
          <a:off x="13559598" y="1118108"/>
          <a:ext cx="599515" cy="564215"/>
        </a:xfrm>
        <a:prstGeom prst="ellipse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ru-RU" sz="1600">
              <a:solidFill>
                <a:schemeClr val="tx1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15</a:t>
          </a:r>
        </a:p>
      </xdr:txBody>
    </xdr:sp>
    <xdr:clientData/>
  </xdr:twoCellAnchor>
  <xdr:twoCellAnchor>
    <xdr:from>
      <xdr:col>27</xdr:col>
      <xdr:colOff>446424</xdr:colOff>
      <xdr:row>16</xdr:row>
      <xdr:rowOff>158323</xdr:rowOff>
    </xdr:from>
    <xdr:to>
      <xdr:col>28</xdr:col>
      <xdr:colOff>365944</xdr:colOff>
      <xdr:row>43</xdr:row>
      <xdr:rowOff>2103</xdr:rowOff>
    </xdr:to>
    <xdr:cxnSp macro="">
      <xdr:nvCxnSpPr>
        <xdr:cNvPr id="51" name="Прямая со стрелкой 50">
          <a:extLst>
            <a:ext uri="{FF2B5EF4-FFF2-40B4-BE49-F238E27FC236}">
              <a16:creationId xmlns:a16="http://schemas.microsoft.com/office/drawing/2014/main" id="{4ACEE568-726F-4A65-992A-43234A0C8316}"/>
            </a:ext>
          </a:extLst>
        </xdr:cNvPr>
        <xdr:cNvCxnSpPr>
          <a:cxnSpLocks/>
          <a:stCxn id="50" idx="4"/>
          <a:endCxn id="53" idx="0"/>
        </xdr:cNvCxnSpPr>
      </xdr:nvCxnSpPr>
      <xdr:spPr>
        <a:xfrm>
          <a:off x="13857624" y="1682323"/>
          <a:ext cx="529120" cy="4987280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27</xdr:col>
      <xdr:colOff>199887</xdr:colOff>
      <xdr:row>26</xdr:row>
      <xdr:rowOff>51009</xdr:rowOff>
    </xdr:from>
    <xdr:ext cx="535339" cy="298800"/>
    <xdr:sp macro="" textlink="">
      <xdr:nvSpPr>
        <xdr:cNvPr id="52" name="TextBox 51">
          <a:extLst>
            <a:ext uri="{FF2B5EF4-FFF2-40B4-BE49-F238E27FC236}">
              <a16:creationId xmlns:a16="http://schemas.microsoft.com/office/drawing/2014/main" id="{0B084C1C-6086-4AF3-9C45-63C27D042876}"/>
            </a:ext>
          </a:extLst>
        </xdr:cNvPr>
        <xdr:cNvSpPr txBox="1"/>
      </xdr:nvSpPr>
      <xdr:spPr>
        <a:xfrm>
          <a:off x="13611087" y="3480009"/>
          <a:ext cx="535339" cy="29880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ru-RU" sz="1400">
              <a:latin typeface="Times New Roman" panose="02020603050405020304" pitchFamily="18" charset="0"/>
              <a:cs typeface="Times New Roman" panose="02020603050405020304" pitchFamily="18" charset="0"/>
            </a:rPr>
            <a:t>М=2</a:t>
          </a:r>
        </a:p>
      </xdr:txBody>
    </xdr:sp>
    <xdr:clientData/>
  </xdr:oneCellAnchor>
  <xdr:twoCellAnchor>
    <xdr:from>
      <xdr:col>28</xdr:col>
      <xdr:colOff>67918</xdr:colOff>
      <xdr:row>43</xdr:row>
      <xdr:rowOff>2103</xdr:rowOff>
    </xdr:from>
    <xdr:to>
      <xdr:col>29</xdr:col>
      <xdr:colOff>57833</xdr:colOff>
      <xdr:row>45</xdr:row>
      <xdr:rowOff>185318</xdr:rowOff>
    </xdr:to>
    <xdr:sp macro="" textlink="">
      <xdr:nvSpPr>
        <xdr:cNvPr id="53" name="Овал 52">
          <a:extLst>
            <a:ext uri="{FF2B5EF4-FFF2-40B4-BE49-F238E27FC236}">
              <a16:creationId xmlns:a16="http://schemas.microsoft.com/office/drawing/2014/main" id="{B520C489-8BEB-4E4C-BF6A-1ABFBF743A87}"/>
            </a:ext>
          </a:extLst>
        </xdr:cNvPr>
        <xdr:cNvSpPr/>
      </xdr:nvSpPr>
      <xdr:spPr>
        <a:xfrm>
          <a:off x="14088718" y="6669603"/>
          <a:ext cx="599515" cy="564215"/>
        </a:xfrm>
        <a:prstGeom prst="ellipse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ru-RU" sz="1600">
              <a:solidFill>
                <a:schemeClr val="tx1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17</a:t>
          </a:r>
        </a:p>
      </xdr:txBody>
    </xdr:sp>
    <xdr:clientData/>
  </xdr:twoCellAnchor>
  <xdr:twoCellAnchor>
    <xdr:from>
      <xdr:col>25</xdr:col>
      <xdr:colOff>451843</xdr:colOff>
      <xdr:row>40</xdr:row>
      <xdr:rowOff>98908</xdr:rowOff>
    </xdr:from>
    <xdr:to>
      <xdr:col>26</xdr:col>
      <xdr:colOff>429827</xdr:colOff>
      <xdr:row>42</xdr:row>
      <xdr:rowOff>29311</xdr:rowOff>
    </xdr:to>
    <xdr:cxnSp macro="">
      <xdr:nvCxnSpPr>
        <xdr:cNvPr id="54" name="Прямая со стрелкой 53">
          <a:extLst>
            <a:ext uri="{FF2B5EF4-FFF2-40B4-BE49-F238E27FC236}">
              <a16:creationId xmlns:a16="http://schemas.microsoft.com/office/drawing/2014/main" id="{02B8E291-5DF9-4BB4-9FB4-7B28335242C9}"/>
            </a:ext>
          </a:extLst>
        </xdr:cNvPr>
        <xdr:cNvCxnSpPr>
          <a:stCxn id="42" idx="5"/>
          <a:endCxn id="56" idx="1"/>
        </xdr:cNvCxnSpPr>
      </xdr:nvCxnSpPr>
      <xdr:spPr>
        <a:xfrm>
          <a:off x="12643843" y="6194908"/>
          <a:ext cx="587584" cy="311403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25</xdr:col>
      <xdr:colOff>416859</xdr:colOff>
      <xdr:row>41</xdr:row>
      <xdr:rowOff>24653</xdr:rowOff>
    </xdr:from>
    <xdr:ext cx="505331" cy="298800"/>
    <xdr:sp macro="" textlink="">
      <xdr:nvSpPr>
        <xdr:cNvPr id="55" name="TextBox 54">
          <a:extLst>
            <a:ext uri="{FF2B5EF4-FFF2-40B4-BE49-F238E27FC236}">
              <a16:creationId xmlns:a16="http://schemas.microsoft.com/office/drawing/2014/main" id="{59917BC5-FD4A-42FD-B54C-895EC88617A5}"/>
            </a:ext>
          </a:extLst>
        </xdr:cNvPr>
        <xdr:cNvSpPr txBox="1"/>
      </xdr:nvSpPr>
      <xdr:spPr>
        <a:xfrm>
          <a:off x="12608859" y="6311153"/>
          <a:ext cx="505331" cy="29880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ru-RU" sz="1400">
              <a:latin typeface="Times New Roman" panose="02020603050405020304" pitchFamily="18" charset="0"/>
              <a:cs typeface="Times New Roman" panose="02020603050405020304" pitchFamily="18" charset="0"/>
            </a:rPr>
            <a:t>О=6</a:t>
          </a:r>
        </a:p>
      </xdr:txBody>
    </xdr:sp>
    <xdr:clientData/>
  </xdr:oneCellAnchor>
  <xdr:twoCellAnchor>
    <xdr:from>
      <xdr:col>26</xdr:col>
      <xdr:colOff>341545</xdr:colOff>
      <xdr:row>41</xdr:row>
      <xdr:rowOff>137184</xdr:rowOff>
    </xdr:from>
    <xdr:to>
      <xdr:col>27</xdr:col>
      <xdr:colOff>331461</xdr:colOff>
      <xdr:row>44</xdr:row>
      <xdr:rowOff>129899</xdr:rowOff>
    </xdr:to>
    <xdr:sp macro="" textlink="">
      <xdr:nvSpPr>
        <xdr:cNvPr id="56" name="Овал 55">
          <a:extLst>
            <a:ext uri="{FF2B5EF4-FFF2-40B4-BE49-F238E27FC236}">
              <a16:creationId xmlns:a16="http://schemas.microsoft.com/office/drawing/2014/main" id="{B4496B92-F262-4201-95FA-EE992A4B9488}"/>
            </a:ext>
          </a:extLst>
        </xdr:cNvPr>
        <xdr:cNvSpPr/>
      </xdr:nvSpPr>
      <xdr:spPr>
        <a:xfrm>
          <a:off x="13143145" y="6423684"/>
          <a:ext cx="599516" cy="564215"/>
        </a:xfrm>
        <a:prstGeom prst="ellipse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ru-RU" sz="1600">
              <a:solidFill>
                <a:schemeClr val="tx1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16</a:t>
          </a:r>
        </a:p>
      </xdr:txBody>
    </xdr:sp>
    <xdr:clientData/>
  </xdr:twoCellAnchor>
  <xdr:twoCellAnchor>
    <xdr:from>
      <xdr:col>27</xdr:col>
      <xdr:colOff>331461</xdr:colOff>
      <xdr:row>43</xdr:row>
      <xdr:rowOff>38292</xdr:rowOff>
    </xdr:from>
    <xdr:to>
      <xdr:col>28</xdr:col>
      <xdr:colOff>67918</xdr:colOff>
      <xdr:row>44</xdr:row>
      <xdr:rowOff>93711</xdr:rowOff>
    </xdr:to>
    <xdr:cxnSp macro="">
      <xdr:nvCxnSpPr>
        <xdr:cNvPr id="57" name="Прямая со стрелкой 56">
          <a:extLst>
            <a:ext uri="{FF2B5EF4-FFF2-40B4-BE49-F238E27FC236}">
              <a16:creationId xmlns:a16="http://schemas.microsoft.com/office/drawing/2014/main" id="{8E1D8AA5-F628-4909-AA35-D5DDE84F01B0}"/>
            </a:ext>
          </a:extLst>
        </xdr:cNvPr>
        <xdr:cNvCxnSpPr>
          <a:stCxn id="56" idx="6"/>
          <a:endCxn id="53" idx="2"/>
        </xdr:cNvCxnSpPr>
      </xdr:nvCxnSpPr>
      <xdr:spPr>
        <a:xfrm>
          <a:off x="13742661" y="6705792"/>
          <a:ext cx="346057" cy="245919"/>
        </a:xfrm>
        <a:prstGeom prst="straightConnector1">
          <a:avLst/>
        </a:prstGeom>
        <a:ln>
          <a:solidFill>
            <a:schemeClr val="tx1"/>
          </a:solidFill>
          <a:prstDash val="dash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3"/>
  <sheetViews>
    <sheetView zoomScale="55" zoomScaleNormal="55" workbookViewId="0">
      <selection activeCell="AC41" sqref="AC41"/>
    </sheetView>
  </sheetViews>
  <sheetFormatPr defaultRowHeight="15" x14ac:dyDescent="0.25"/>
  <sheetData>
    <row r="1" spans="1:3" x14ac:dyDescent="0.25">
      <c r="A1" s="2" t="s">
        <v>22</v>
      </c>
      <c r="B1" s="2" t="s">
        <v>23</v>
      </c>
      <c r="C1" s="2"/>
    </row>
    <row r="2" spans="1:3" x14ac:dyDescent="0.25">
      <c r="A2" s="3" t="s">
        <v>0</v>
      </c>
      <c r="B2" s="3" t="s">
        <v>1</v>
      </c>
      <c r="C2" s="3">
        <v>6</v>
      </c>
    </row>
    <row r="3" spans="1:3" x14ac:dyDescent="0.25">
      <c r="A3" s="3" t="s">
        <v>0</v>
      </c>
      <c r="B3" s="3" t="s">
        <v>2</v>
      </c>
      <c r="C3" s="3">
        <v>1</v>
      </c>
    </row>
    <row r="4" spans="1:3" x14ac:dyDescent="0.25">
      <c r="A4" s="3" t="s">
        <v>2</v>
      </c>
      <c r="B4" s="3" t="s">
        <v>3</v>
      </c>
      <c r="C4" s="3">
        <v>2</v>
      </c>
    </row>
    <row r="5" spans="1:3" x14ac:dyDescent="0.25">
      <c r="A5" s="3" t="s">
        <v>1</v>
      </c>
      <c r="B5" s="3" t="s">
        <v>4</v>
      </c>
      <c r="C5" s="3">
        <v>4</v>
      </c>
    </row>
    <row r="6" spans="1:3" x14ac:dyDescent="0.25">
      <c r="A6" s="3" t="s">
        <v>16</v>
      </c>
      <c r="B6" s="3" t="s">
        <v>5</v>
      </c>
      <c r="C6" s="3">
        <v>5</v>
      </c>
    </row>
    <row r="7" spans="1:3" x14ac:dyDescent="0.25">
      <c r="A7" s="3" t="s">
        <v>15</v>
      </c>
      <c r="B7" s="3" t="s">
        <v>6</v>
      </c>
      <c r="C7" s="3">
        <v>6</v>
      </c>
    </row>
    <row r="8" spans="1:3" x14ac:dyDescent="0.25">
      <c r="A8" s="3" t="s">
        <v>17</v>
      </c>
      <c r="B8" s="3" t="s">
        <v>7</v>
      </c>
      <c r="C8" s="3">
        <v>7</v>
      </c>
    </row>
    <row r="9" spans="1:3" x14ac:dyDescent="0.25">
      <c r="A9" s="3" t="s">
        <v>18</v>
      </c>
      <c r="B9" s="3" t="s">
        <v>8</v>
      </c>
      <c r="C9" s="3">
        <v>8</v>
      </c>
    </row>
    <row r="10" spans="1:3" x14ac:dyDescent="0.25">
      <c r="A10" s="3" t="s">
        <v>2</v>
      </c>
      <c r="B10" s="3" t="s">
        <v>9</v>
      </c>
      <c r="C10" s="3">
        <v>1</v>
      </c>
    </row>
    <row r="11" spans="1:3" x14ac:dyDescent="0.25">
      <c r="A11" s="3" t="s">
        <v>9</v>
      </c>
      <c r="B11" s="3" t="s">
        <v>10</v>
      </c>
      <c r="C11" s="3">
        <v>2</v>
      </c>
    </row>
    <row r="12" spans="1:3" x14ac:dyDescent="0.25">
      <c r="A12" s="3" t="s">
        <v>19</v>
      </c>
      <c r="B12" s="3" t="s">
        <v>11</v>
      </c>
      <c r="C12" s="3">
        <v>3</v>
      </c>
    </row>
    <row r="13" spans="1:3" x14ac:dyDescent="0.25">
      <c r="A13" s="3" t="s">
        <v>20</v>
      </c>
      <c r="B13" s="3" t="s">
        <v>12</v>
      </c>
      <c r="C13" s="3">
        <v>4</v>
      </c>
    </row>
    <row r="14" spans="1:3" x14ac:dyDescent="0.25">
      <c r="A14" s="3" t="s">
        <v>12</v>
      </c>
      <c r="B14" s="3" t="s">
        <v>13</v>
      </c>
      <c r="C14" s="3">
        <v>2</v>
      </c>
    </row>
    <row r="15" spans="1:3" x14ac:dyDescent="0.25">
      <c r="A15" s="3" t="s">
        <v>21</v>
      </c>
      <c r="B15" s="3" t="s">
        <v>14</v>
      </c>
      <c r="C15" s="3">
        <v>6</v>
      </c>
    </row>
    <row r="18" spans="1:3" x14ac:dyDescent="0.25">
      <c r="A18" s="8" t="s">
        <v>24</v>
      </c>
      <c r="B18" s="8"/>
      <c r="C18" s="8"/>
    </row>
    <row r="19" spans="1:3" ht="15" customHeight="1" x14ac:dyDescent="0.35">
      <c r="A19" s="4" t="s">
        <v>25</v>
      </c>
      <c r="B19" s="4" t="s">
        <v>26</v>
      </c>
      <c r="C19" s="4" t="s">
        <v>27</v>
      </c>
    </row>
    <row r="20" spans="1:3" x14ac:dyDescent="0.25">
      <c r="A20" s="1">
        <v>1</v>
      </c>
      <c r="B20" s="1">
        <v>2</v>
      </c>
      <c r="C20" s="1">
        <v>6</v>
      </c>
    </row>
    <row r="21" spans="1:3" x14ac:dyDescent="0.25">
      <c r="A21" s="1">
        <v>1</v>
      </c>
      <c r="B21" s="1">
        <v>3</v>
      </c>
      <c r="C21" s="1">
        <v>1</v>
      </c>
    </row>
    <row r="22" spans="1:3" x14ac:dyDescent="0.25">
      <c r="A22" s="1">
        <v>2</v>
      </c>
      <c r="B22" s="1">
        <v>5</v>
      </c>
      <c r="C22" s="1">
        <v>4</v>
      </c>
    </row>
    <row r="23" spans="1:3" x14ac:dyDescent="0.25">
      <c r="A23" s="1">
        <v>2</v>
      </c>
      <c r="B23" s="1">
        <v>14</v>
      </c>
      <c r="C23" s="1">
        <v>0</v>
      </c>
    </row>
    <row r="24" spans="1:3" x14ac:dyDescent="0.25">
      <c r="A24" s="1">
        <v>3</v>
      </c>
      <c r="B24" s="1">
        <v>4</v>
      </c>
      <c r="C24" s="1">
        <v>2</v>
      </c>
    </row>
    <row r="25" spans="1:3" x14ac:dyDescent="0.25">
      <c r="A25" s="1">
        <v>3</v>
      </c>
      <c r="B25" s="1">
        <v>7</v>
      </c>
      <c r="C25" s="1">
        <v>0</v>
      </c>
    </row>
    <row r="26" spans="1:3" x14ac:dyDescent="0.25">
      <c r="A26" s="1">
        <v>3</v>
      </c>
      <c r="B26" s="1">
        <v>11</v>
      </c>
      <c r="C26" s="1">
        <v>1</v>
      </c>
    </row>
    <row r="27" spans="1:3" x14ac:dyDescent="0.25">
      <c r="A27" s="1">
        <v>4</v>
      </c>
      <c r="B27" s="1">
        <v>6</v>
      </c>
      <c r="C27" s="1">
        <v>0</v>
      </c>
    </row>
    <row r="28" spans="1:3" x14ac:dyDescent="0.25">
      <c r="A28" s="1">
        <v>4</v>
      </c>
      <c r="B28" s="1">
        <v>14</v>
      </c>
      <c r="C28" s="1">
        <v>0</v>
      </c>
    </row>
    <row r="29" spans="1:3" x14ac:dyDescent="0.25">
      <c r="A29" s="1">
        <v>5</v>
      </c>
      <c r="B29" s="1">
        <v>6</v>
      </c>
      <c r="C29" s="1">
        <v>0</v>
      </c>
    </row>
    <row r="30" spans="1:3" x14ac:dyDescent="0.25">
      <c r="A30" s="1">
        <v>6</v>
      </c>
      <c r="B30" s="1">
        <v>8</v>
      </c>
      <c r="C30" s="1">
        <v>5</v>
      </c>
    </row>
    <row r="31" spans="1:3" x14ac:dyDescent="0.25">
      <c r="A31" s="1">
        <v>6</v>
      </c>
      <c r="B31" s="1">
        <v>9</v>
      </c>
      <c r="C31" s="1">
        <v>6</v>
      </c>
    </row>
    <row r="32" spans="1:3" x14ac:dyDescent="0.25">
      <c r="A32" s="1">
        <v>7</v>
      </c>
      <c r="B32" s="1">
        <v>13</v>
      </c>
      <c r="C32" s="1">
        <v>7</v>
      </c>
    </row>
    <row r="33" spans="1:3" x14ac:dyDescent="0.25">
      <c r="A33" s="1">
        <v>8</v>
      </c>
      <c r="B33" s="1">
        <v>10</v>
      </c>
      <c r="C33" s="1">
        <v>0</v>
      </c>
    </row>
    <row r="34" spans="1:3" x14ac:dyDescent="0.25">
      <c r="A34" s="1">
        <v>9</v>
      </c>
      <c r="B34" s="1">
        <v>10</v>
      </c>
      <c r="C34" s="1">
        <v>0</v>
      </c>
    </row>
    <row r="35" spans="1:3" x14ac:dyDescent="0.25">
      <c r="A35" s="1">
        <v>10</v>
      </c>
      <c r="B35" s="1">
        <v>12</v>
      </c>
      <c r="C35" s="1">
        <v>8</v>
      </c>
    </row>
    <row r="36" spans="1:3" x14ac:dyDescent="0.25">
      <c r="A36" s="1">
        <v>11</v>
      </c>
      <c r="B36" s="1">
        <v>13</v>
      </c>
      <c r="C36" s="1">
        <v>0</v>
      </c>
    </row>
    <row r="37" spans="1:3" x14ac:dyDescent="0.25">
      <c r="A37" s="1">
        <v>11</v>
      </c>
      <c r="B37" s="1">
        <v>17</v>
      </c>
      <c r="C37" s="1">
        <v>2</v>
      </c>
    </row>
    <row r="38" spans="1:3" x14ac:dyDescent="0.25">
      <c r="A38" s="1">
        <v>12</v>
      </c>
      <c r="B38" s="1">
        <v>13</v>
      </c>
      <c r="C38" s="1">
        <v>0</v>
      </c>
    </row>
    <row r="39" spans="1:3" x14ac:dyDescent="0.25">
      <c r="A39" s="1">
        <v>13</v>
      </c>
      <c r="B39" s="1">
        <v>16</v>
      </c>
      <c r="C39" s="1">
        <v>6</v>
      </c>
    </row>
    <row r="40" spans="1:3" x14ac:dyDescent="0.25">
      <c r="A40" s="1">
        <v>13</v>
      </c>
      <c r="B40" s="1">
        <v>17</v>
      </c>
      <c r="C40" s="1">
        <v>3</v>
      </c>
    </row>
    <row r="41" spans="1:3" x14ac:dyDescent="0.25">
      <c r="A41" s="1">
        <v>14</v>
      </c>
      <c r="B41" s="1">
        <v>15</v>
      </c>
      <c r="C41" s="1">
        <v>4</v>
      </c>
    </row>
    <row r="42" spans="1:3" x14ac:dyDescent="0.25">
      <c r="A42" s="1">
        <v>15</v>
      </c>
      <c r="B42" s="1">
        <v>17</v>
      </c>
      <c r="C42" s="1">
        <v>2</v>
      </c>
    </row>
    <row r="43" spans="1:3" x14ac:dyDescent="0.25">
      <c r="A43" s="1">
        <v>16</v>
      </c>
      <c r="B43" s="1">
        <v>17</v>
      </c>
      <c r="C43" s="1">
        <v>0</v>
      </c>
    </row>
  </sheetData>
  <mergeCells count="1">
    <mergeCell ref="A18:C18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F2CB85-5919-4EE1-94C3-4CFDF0B98367}">
  <dimension ref="A1:F27"/>
  <sheetViews>
    <sheetView workbookViewId="0">
      <selection activeCell="F2" sqref="F2"/>
    </sheetView>
  </sheetViews>
  <sheetFormatPr defaultRowHeight="15" x14ac:dyDescent="0.25"/>
  <cols>
    <col min="5" max="5" width="33.7109375" customWidth="1"/>
    <col min="6" max="6" width="16.7109375" customWidth="1"/>
  </cols>
  <sheetData>
    <row r="1" spans="1:6" x14ac:dyDescent="0.25">
      <c r="A1" s="9" t="s">
        <v>24</v>
      </c>
      <c r="B1" s="10"/>
      <c r="C1" s="11"/>
      <c r="E1" s="1" t="s">
        <v>28</v>
      </c>
      <c r="F1" s="1" t="s">
        <v>29</v>
      </c>
    </row>
    <row r="2" spans="1:6" ht="20.25" x14ac:dyDescent="0.35">
      <c r="A2" s="4" t="s">
        <v>25</v>
      </c>
      <c r="B2" s="4" t="s">
        <v>26</v>
      </c>
      <c r="C2" s="4" t="s">
        <v>27</v>
      </c>
      <c r="E2" s="6" t="s">
        <v>41</v>
      </c>
      <c r="F2" s="1">
        <v>14</v>
      </c>
    </row>
    <row r="3" spans="1:6" x14ac:dyDescent="0.25">
      <c r="A3" s="1">
        <v>1</v>
      </c>
      <c r="B3" s="1">
        <v>2</v>
      </c>
      <c r="C3" s="1">
        <v>6</v>
      </c>
      <c r="E3" s="1" t="s">
        <v>34</v>
      </c>
      <c r="F3" s="1">
        <v>27</v>
      </c>
    </row>
    <row r="4" spans="1:6" x14ac:dyDescent="0.25">
      <c r="A4" s="1">
        <v>1</v>
      </c>
      <c r="B4" s="1">
        <v>3</v>
      </c>
      <c r="C4" s="1">
        <v>1</v>
      </c>
      <c r="E4" s="1" t="s">
        <v>39</v>
      </c>
      <c r="F4" s="1">
        <v>20</v>
      </c>
    </row>
    <row r="5" spans="1:6" x14ac:dyDescent="0.25">
      <c r="A5" s="1">
        <v>2</v>
      </c>
      <c r="B5" s="1">
        <v>5</v>
      </c>
      <c r="C5" s="1">
        <v>4</v>
      </c>
      <c r="E5" s="5" t="s">
        <v>32</v>
      </c>
      <c r="F5" s="1">
        <v>29</v>
      </c>
    </row>
    <row r="6" spans="1:6" x14ac:dyDescent="0.25">
      <c r="A6" s="1">
        <v>2</v>
      </c>
      <c r="B6" s="1">
        <v>7</v>
      </c>
      <c r="C6" s="1">
        <v>0</v>
      </c>
      <c r="E6" s="5" t="s">
        <v>44</v>
      </c>
      <c r="F6" s="1">
        <v>5</v>
      </c>
    </row>
    <row r="7" spans="1:6" x14ac:dyDescent="0.25">
      <c r="A7" s="1">
        <v>2</v>
      </c>
      <c r="B7" s="1">
        <v>14</v>
      </c>
      <c r="C7" s="1">
        <v>0</v>
      </c>
      <c r="E7" s="1" t="s">
        <v>49</v>
      </c>
      <c r="F7" s="1">
        <v>16</v>
      </c>
    </row>
    <row r="8" spans="1:6" x14ac:dyDescent="0.25">
      <c r="A8" s="1">
        <v>3</v>
      </c>
      <c r="B8" s="1">
        <v>4</v>
      </c>
      <c r="C8" s="1">
        <v>2</v>
      </c>
      <c r="E8" s="5" t="s">
        <v>37</v>
      </c>
      <c r="F8" s="1">
        <v>19</v>
      </c>
    </row>
    <row r="9" spans="1:6" x14ac:dyDescent="0.25">
      <c r="A9" s="1">
        <v>3</v>
      </c>
      <c r="B9" s="1">
        <v>7</v>
      </c>
      <c r="C9" s="1">
        <v>0</v>
      </c>
      <c r="E9" s="1" t="s">
        <v>35</v>
      </c>
      <c r="F9" s="1">
        <v>12</v>
      </c>
    </row>
    <row r="10" spans="1:6" x14ac:dyDescent="0.25">
      <c r="A10" s="1">
        <v>3</v>
      </c>
      <c r="B10" s="1">
        <v>11</v>
      </c>
      <c r="C10" s="1">
        <v>1</v>
      </c>
      <c r="E10" s="1" t="s">
        <v>36</v>
      </c>
      <c r="F10" s="1">
        <v>22</v>
      </c>
    </row>
    <row r="11" spans="1:6" x14ac:dyDescent="0.25">
      <c r="A11" s="1">
        <v>4</v>
      </c>
      <c r="B11" s="1">
        <v>6</v>
      </c>
      <c r="C11" s="1">
        <v>0</v>
      </c>
      <c r="E11" s="1" t="s">
        <v>33</v>
      </c>
      <c r="F11" s="1">
        <v>30</v>
      </c>
    </row>
    <row r="12" spans="1:6" x14ac:dyDescent="0.25">
      <c r="A12" s="1">
        <v>4</v>
      </c>
      <c r="B12" s="1">
        <v>14</v>
      </c>
      <c r="C12" s="1">
        <v>0</v>
      </c>
      <c r="E12" s="1" t="s">
        <v>43</v>
      </c>
      <c r="F12" s="1">
        <v>8</v>
      </c>
    </row>
    <row r="13" spans="1:6" x14ac:dyDescent="0.25">
      <c r="A13" s="1">
        <v>5</v>
      </c>
      <c r="B13" s="1">
        <v>6</v>
      </c>
      <c r="C13" s="1">
        <v>0</v>
      </c>
      <c r="E13" s="1" t="s">
        <v>40</v>
      </c>
      <c r="F13" s="1">
        <v>9</v>
      </c>
    </row>
    <row r="14" spans="1:6" x14ac:dyDescent="0.25">
      <c r="A14" s="1">
        <v>6</v>
      </c>
      <c r="B14" s="1">
        <v>8</v>
      </c>
      <c r="C14" s="1">
        <v>5</v>
      </c>
      <c r="E14" s="1" t="s">
        <v>31</v>
      </c>
      <c r="F14" s="1">
        <v>26</v>
      </c>
    </row>
    <row r="15" spans="1:6" x14ac:dyDescent="0.25">
      <c r="A15" s="1">
        <v>6</v>
      </c>
      <c r="B15" s="1">
        <v>9</v>
      </c>
      <c r="C15" s="1">
        <v>6</v>
      </c>
      <c r="E15" s="1" t="s">
        <v>42</v>
      </c>
      <c r="F15" s="1">
        <v>11</v>
      </c>
    </row>
    <row r="16" spans="1:6" x14ac:dyDescent="0.25">
      <c r="A16" s="1">
        <v>7</v>
      </c>
      <c r="B16" s="1">
        <v>13</v>
      </c>
      <c r="C16" s="1">
        <v>7</v>
      </c>
      <c r="E16" s="1" t="s">
        <v>50</v>
      </c>
      <c r="F16" s="1">
        <v>19</v>
      </c>
    </row>
    <row r="17" spans="1:6" x14ac:dyDescent="0.25">
      <c r="A17" s="1">
        <v>8</v>
      </c>
      <c r="B17" s="1">
        <v>10</v>
      </c>
      <c r="C17" s="1">
        <v>0</v>
      </c>
      <c r="E17" s="1" t="s">
        <v>38</v>
      </c>
      <c r="F17" s="1">
        <v>23</v>
      </c>
    </row>
    <row r="18" spans="1:6" x14ac:dyDescent="0.25">
      <c r="A18" s="1">
        <v>9</v>
      </c>
      <c r="B18" s="1">
        <v>10</v>
      </c>
      <c r="C18" s="1">
        <v>0</v>
      </c>
      <c r="E18" s="1" t="s">
        <v>45</v>
      </c>
      <c r="F18" s="1">
        <v>4</v>
      </c>
    </row>
    <row r="19" spans="1:6" x14ac:dyDescent="0.25">
      <c r="A19" s="1">
        <v>10</v>
      </c>
      <c r="B19" s="1">
        <v>12</v>
      </c>
      <c r="C19" s="1">
        <v>8</v>
      </c>
    </row>
    <row r="20" spans="1:6" x14ac:dyDescent="0.25">
      <c r="A20" s="1">
        <v>11</v>
      </c>
      <c r="B20" s="1">
        <v>13</v>
      </c>
      <c r="C20" s="1">
        <v>0</v>
      </c>
    </row>
    <row r="21" spans="1:6" x14ac:dyDescent="0.25">
      <c r="A21" s="1">
        <v>11</v>
      </c>
      <c r="B21" s="1">
        <v>17</v>
      </c>
      <c r="C21" s="1">
        <v>2</v>
      </c>
    </row>
    <row r="22" spans="1:6" x14ac:dyDescent="0.25">
      <c r="A22" s="1">
        <v>12</v>
      </c>
      <c r="B22" s="1">
        <v>13</v>
      </c>
      <c r="C22" s="1">
        <v>0</v>
      </c>
      <c r="E22" s="1" t="s">
        <v>30</v>
      </c>
      <c r="F22" s="1">
        <f>MIN(F2:F18)</f>
        <v>4</v>
      </c>
    </row>
    <row r="23" spans="1:6" x14ac:dyDescent="0.25">
      <c r="A23" s="1">
        <v>13</v>
      </c>
      <c r="B23" s="1">
        <v>16</v>
      </c>
      <c r="C23" s="1">
        <v>6</v>
      </c>
    </row>
    <row r="24" spans="1:6" x14ac:dyDescent="0.25">
      <c r="A24" s="1">
        <v>13</v>
      </c>
      <c r="B24" s="1">
        <v>17</v>
      </c>
      <c r="C24" s="1">
        <v>3</v>
      </c>
    </row>
    <row r="25" spans="1:6" x14ac:dyDescent="0.25">
      <c r="A25" s="1">
        <v>14</v>
      </c>
      <c r="B25" s="1">
        <v>15</v>
      </c>
      <c r="C25" s="1">
        <v>4</v>
      </c>
    </row>
    <row r="26" spans="1:6" x14ac:dyDescent="0.25">
      <c r="A26" s="1">
        <v>15</v>
      </c>
      <c r="B26" s="1">
        <v>17</v>
      </c>
      <c r="C26" s="1">
        <v>2</v>
      </c>
    </row>
    <row r="27" spans="1:6" x14ac:dyDescent="0.25">
      <c r="A27" s="1">
        <v>16</v>
      </c>
      <c r="B27" s="1">
        <v>17</v>
      </c>
      <c r="C27" s="1">
        <v>0</v>
      </c>
    </row>
  </sheetData>
  <mergeCells count="1">
    <mergeCell ref="A1:C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357FFB-E7FF-4ECA-9C1F-A8C0B082BAAA}">
  <dimension ref="A1:F27"/>
  <sheetViews>
    <sheetView tabSelected="1" workbookViewId="0">
      <selection activeCell="E3" sqref="E3"/>
    </sheetView>
  </sheetViews>
  <sheetFormatPr defaultRowHeight="15" x14ac:dyDescent="0.25"/>
  <cols>
    <col min="4" max="6" width="14.85546875" customWidth="1"/>
  </cols>
  <sheetData>
    <row r="1" spans="1:6" x14ac:dyDescent="0.25">
      <c r="A1" s="9" t="s">
        <v>24</v>
      </c>
      <c r="B1" s="10"/>
      <c r="C1" s="11"/>
    </row>
    <row r="2" spans="1:6" ht="20.25" x14ac:dyDescent="0.35">
      <c r="A2" s="4" t="s">
        <v>25</v>
      </c>
      <c r="B2" s="4" t="s">
        <v>26</v>
      </c>
      <c r="C2" s="4" t="s">
        <v>51</v>
      </c>
      <c r="D2" s="4" t="s">
        <v>46</v>
      </c>
      <c r="E2" s="4" t="s">
        <v>47</v>
      </c>
      <c r="F2" s="4" t="s">
        <v>52</v>
      </c>
    </row>
    <row r="3" spans="1:6" x14ac:dyDescent="0.25">
      <c r="A3" s="1">
        <v>1</v>
      </c>
      <c r="B3" s="1">
        <v>2</v>
      </c>
      <c r="C3" s="1">
        <v>6</v>
      </c>
      <c r="D3" s="1">
        <v>6</v>
      </c>
      <c r="E3" s="7">
        <f>D3+D4-D27-D26-D24-D21</f>
        <v>0</v>
      </c>
      <c r="F3" s="1">
        <f>SUM(D3:D27)</f>
        <v>52</v>
      </c>
    </row>
    <row r="4" spans="1:6" x14ac:dyDescent="0.25">
      <c r="A4" s="1">
        <v>1</v>
      </c>
      <c r="B4" s="1">
        <v>3</v>
      </c>
      <c r="C4" s="1">
        <v>1</v>
      </c>
      <c r="D4" s="1">
        <v>1</v>
      </c>
      <c r="E4" s="7">
        <f>D3-D5-D6-D7</f>
        <v>4</v>
      </c>
    </row>
    <row r="5" spans="1:6" x14ac:dyDescent="0.25">
      <c r="A5" s="1">
        <v>2</v>
      </c>
      <c r="B5" s="1">
        <v>5</v>
      </c>
      <c r="C5" s="1">
        <v>4</v>
      </c>
      <c r="D5" s="1">
        <v>2</v>
      </c>
      <c r="E5" s="7">
        <f>D4-D8-D9-D10</f>
        <v>-2</v>
      </c>
    </row>
    <row r="6" spans="1:6" x14ac:dyDescent="0.25">
      <c r="A6" s="1">
        <v>2</v>
      </c>
      <c r="B6" s="1">
        <v>7</v>
      </c>
      <c r="C6" s="1">
        <v>0</v>
      </c>
      <c r="D6" s="1">
        <v>0</v>
      </c>
      <c r="E6" s="7">
        <f>D8-D11-D12</f>
        <v>2</v>
      </c>
    </row>
    <row r="7" spans="1:6" x14ac:dyDescent="0.25">
      <c r="A7" s="1">
        <v>2</v>
      </c>
      <c r="B7" s="1">
        <v>14</v>
      </c>
      <c r="C7" s="1">
        <v>0</v>
      </c>
      <c r="D7" s="1">
        <v>0</v>
      </c>
      <c r="E7" s="7">
        <f>D5-D13</f>
        <v>2</v>
      </c>
    </row>
    <row r="8" spans="1:6" x14ac:dyDescent="0.25">
      <c r="A8" s="1">
        <v>3</v>
      </c>
      <c r="B8" s="1">
        <v>4</v>
      </c>
      <c r="C8" s="1">
        <v>2</v>
      </c>
      <c r="D8" s="1">
        <v>2</v>
      </c>
      <c r="E8" s="7">
        <f>D13+D11-D14-D15</f>
        <v>-8</v>
      </c>
    </row>
    <row r="9" spans="1:6" x14ac:dyDescent="0.25">
      <c r="A9" s="1">
        <v>3</v>
      </c>
      <c r="B9" s="1">
        <v>7</v>
      </c>
      <c r="C9" s="1">
        <v>0</v>
      </c>
      <c r="D9" s="1">
        <v>0</v>
      </c>
      <c r="E9" s="7">
        <f>D9+D6-D16</f>
        <v>-7</v>
      </c>
    </row>
    <row r="10" spans="1:6" x14ac:dyDescent="0.25">
      <c r="A10" s="1">
        <v>3</v>
      </c>
      <c r="B10" s="1">
        <v>11</v>
      </c>
      <c r="C10" s="1">
        <v>1</v>
      </c>
      <c r="D10" s="1">
        <v>1</v>
      </c>
      <c r="E10" s="7">
        <f>D14-D17</f>
        <v>5</v>
      </c>
    </row>
    <row r="11" spans="1:6" x14ac:dyDescent="0.25">
      <c r="A11" s="1">
        <v>4</v>
      </c>
      <c r="B11" s="1">
        <v>6</v>
      </c>
      <c r="C11" s="1">
        <v>0</v>
      </c>
      <c r="D11" s="1">
        <v>0</v>
      </c>
      <c r="E11" s="7">
        <f>D15-D18</f>
        <v>3</v>
      </c>
    </row>
    <row r="12" spans="1:6" x14ac:dyDescent="0.25">
      <c r="A12" s="1">
        <v>4</v>
      </c>
      <c r="B12" s="1">
        <v>14</v>
      </c>
      <c r="C12" s="1">
        <v>0</v>
      </c>
      <c r="D12" s="1">
        <v>0</v>
      </c>
      <c r="E12" s="7">
        <f>D17+D18-D19</f>
        <v>-8</v>
      </c>
    </row>
    <row r="13" spans="1:6" x14ac:dyDescent="0.25">
      <c r="A13" s="1">
        <v>5</v>
      </c>
      <c r="B13" s="1">
        <v>6</v>
      </c>
      <c r="C13" s="1">
        <v>0</v>
      </c>
      <c r="D13" s="1">
        <v>0</v>
      </c>
      <c r="E13" s="7">
        <f>D10-D20-D21</f>
        <v>-1</v>
      </c>
    </row>
    <row r="14" spans="1:6" x14ac:dyDescent="0.25">
      <c r="A14" s="1">
        <v>6</v>
      </c>
      <c r="B14" s="1">
        <v>8</v>
      </c>
      <c r="C14" s="1">
        <v>5</v>
      </c>
      <c r="D14" s="1">
        <v>5</v>
      </c>
      <c r="E14" s="7">
        <f>D19-D22</f>
        <v>8</v>
      </c>
    </row>
    <row r="15" spans="1:6" x14ac:dyDescent="0.25">
      <c r="A15" s="1">
        <v>6</v>
      </c>
      <c r="B15" s="1">
        <v>9</v>
      </c>
      <c r="C15" s="1">
        <v>6</v>
      </c>
      <c r="D15" s="1">
        <v>3</v>
      </c>
      <c r="E15" s="7">
        <f>D7+D12-D25</f>
        <v>-3.9999999999999996</v>
      </c>
    </row>
    <row r="16" spans="1:6" x14ac:dyDescent="0.25">
      <c r="A16" s="1">
        <v>7</v>
      </c>
      <c r="B16" s="1">
        <v>13</v>
      </c>
      <c r="C16" s="1">
        <v>7</v>
      </c>
      <c r="D16" s="1">
        <v>7</v>
      </c>
      <c r="E16" s="7">
        <f>D25-D26</f>
        <v>1.9999999999999996</v>
      </c>
    </row>
    <row r="17" spans="1:5" x14ac:dyDescent="0.25">
      <c r="A17" s="1">
        <v>8</v>
      </c>
      <c r="B17" s="1">
        <v>10</v>
      </c>
      <c r="C17" s="1">
        <v>0</v>
      </c>
      <c r="D17" s="1">
        <v>0</v>
      </c>
      <c r="E17" s="7">
        <f>D23-D27</f>
        <v>6</v>
      </c>
    </row>
    <row r="18" spans="1:5" x14ac:dyDescent="0.25">
      <c r="A18" s="1">
        <v>9</v>
      </c>
      <c r="B18" s="1">
        <v>10</v>
      </c>
      <c r="C18" s="1">
        <v>0</v>
      </c>
      <c r="D18" s="1">
        <v>0</v>
      </c>
    </row>
    <row r="19" spans="1:5" x14ac:dyDescent="0.25">
      <c r="A19" s="1">
        <v>10</v>
      </c>
      <c r="B19" s="1">
        <v>12</v>
      </c>
      <c r="C19" s="1">
        <v>8</v>
      </c>
      <c r="D19" s="1">
        <v>8</v>
      </c>
    </row>
    <row r="20" spans="1:5" x14ac:dyDescent="0.25">
      <c r="A20" s="1">
        <v>11</v>
      </c>
      <c r="B20" s="1">
        <v>13</v>
      </c>
      <c r="C20" s="1">
        <v>0</v>
      </c>
      <c r="D20" s="1">
        <v>0</v>
      </c>
    </row>
    <row r="21" spans="1:5" x14ac:dyDescent="0.25">
      <c r="A21" s="1">
        <v>11</v>
      </c>
      <c r="B21" s="1">
        <v>17</v>
      </c>
      <c r="C21" s="1">
        <v>2</v>
      </c>
      <c r="D21" s="1">
        <v>2</v>
      </c>
    </row>
    <row r="22" spans="1:5" x14ac:dyDescent="0.25">
      <c r="A22" s="1">
        <v>12</v>
      </c>
      <c r="B22" s="1">
        <v>13</v>
      </c>
      <c r="C22" s="1">
        <v>0</v>
      </c>
      <c r="D22" s="1">
        <v>0</v>
      </c>
    </row>
    <row r="23" spans="1:5" x14ac:dyDescent="0.25">
      <c r="A23" s="1">
        <v>13</v>
      </c>
      <c r="B23" s="1">
        <v>16</v>
      </c>
      <c r="C23" s="1">
        <v>6</v>
      </c>
      <c r="D23" s="1">
        <v>6</v>
      </c>
    </row>
    <row r="24" spans="1:5" x14ac:dyDescent="0.25">
      <c r="A24" s="1">
        <v>13</v>
      </c>
      <c r="B24" s="1">
        <v>17</v>
      </c>
      <c r="C24" s="1">
        <v>3</v>
      </c>
      <c r="D24" s="1">
        <v>3</v>
      </c>
    </row>
    <row r="25" spans="1:5" x14ac:dyDescent="0.25">
      <c r="A25" s="1">
        <v>14</v>
      </c>
      <c r="B25" s="1">
        <v>15</v>
      </c>
      <c r="C25" s="1">
        <v>4</v>
      </c>
      <c r="D25" s="1">
        <v>3.9999999999999996</v>
      </c>
    </row>
    <row r="26" spans="1:5" x14ac:dyDescent="0.25">
      <c r="A26" s="1">
        <v>15</v>
      </c>
      <c r="B26" s="1">
        <v>17</v>
      </c>
      <c r="C26" s="1">
        <v>2</v>
      </c>
      <c r="D26" s="1">
        <v>2</v>
      </c>
    </row>
    <row r="27" spans="1:5" x14ac:dyDescent="0.25">
      <c r="A27" s="1">
        <v>16</v>
      </c>
      <c r="B27" s="1">
        <v>17</v>
      </c>
      <c r="C27" s="1">
        <v>0</v>
      </c>
      <c r="D27" s="1">
        <v>0</v>
      </c>
    </row>
  </sheetData>
  <mergeCells count="1">
    <mergeCell ref="A1:C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BEB066-91C1-4A54-99F6-82A94D23EB7F}">
  <dimension ref="A1:F27"/>
  <sheetViews>
    <sheetView workbookViewId="0">
      <selection activeCell="J10" sqref="J10"/>
    </sheetView>
  </sheetViews>
  <sheetFormatPr defaultRowHeight="15" x14ac:dyDescent="0.25"/>
  <cols>
    <col min="4" max="5" width="19.7109375" customWidth="1"/>
  </cols>
  <sheetData>
    <row r="1" spans="1:6" x14ac:dyDescent="0.25">
      <c r="A1" s="9" t="s">
        <v>24</v>
      </c>
      <c r="B1" s="10"/>
      <c r="C1" s="11"/>
    </row>
    <row r="2" spans="1:6" ht="20.25" x14ac:dyDescent="0.35">
      <c r="A2" s="4" t="s">
        <v>25</v>
      </c>
      <c r="B2" s="4" t="s">
        <v>26</v>
      </c>
      <c r="C2" s="4" t="s">
        <v>27</v>
      </c>
      <c r="D2" s="4" t="s">
        <v>46</v>
      </c>
      <c r="E2" s="4" t="s">
        <v>47</v>
      </c>
      <c r="F2" s="4" t="s">
        <v>48</v>
      </c>
    </row>
    <row r="3" spans="1:6" x14ac:dyDescent="0.25">
      <c r="A3" s="1">
        <v>1</v>
      </c>
      <c r="B3" s="1">
        <v>2</v>
      </c>
      <c r="C3" s="1">
        <v>6</v>
      </c>
      <c r="D3">
        <v>0</v>
      </c>
      <c r="E3">
        <f>D3+D4</f>
        <v>1</v>
      </c>
      <c r="F3">
        <f>SUMPRODUCT(D3:D27,C3:C27)</f>
        <v>4</v>
      </c>
    </row>
    <row r="4" spans="1:6" x14ac:dyDescent="0.25">
      <c r="A4" s="1">
        <v>1</v>
      </c>
      <c r="B4" s="1">
        <v>3</v>
      </c>
      <c r="C4" s="1">
        <v>1</v>
      </c>
      <c r="D4">
        <v>1</v>
      </c>
      <c r="E4">
        <f>D3-D5-D6-D7</f>
        <v>0</v>
      </c>
    </row>
    <row r="5" spans="1:6" x14ac:dyDescent="0.25">
      <c r="A5" s="1">
        <v>2</v>
      </c>
      <c r="B5" s="1">
        <v>5</v>
      </c>
      <c r="C5" s="1">
        <v>4</v>
      </c>
      <c r="D5">
        <v>0</v>
      </c>
      <c r="E5">
        <f>D4-D8-D9-D10</f>
        <v>0</v>
      </c>
    </row>
    <row r="6" spans="1:6" x14ac:dyDescent="0.25">
      <c r="A6" s="1">
        <v>2</v>
      </c>
      <c r="B6" s="1">
        <v>7</v>
      </c>
      <c r="C6" s="1">
        <v>0</v>
      </c>
      <c r="D6">
        <v>0</v>
      </c>
      <c r="E6">
        <f>D8-D11-D12</f>
        <v>0</v>
      </c>
    </row>
    <row r="7" spans="1:6" x14ac:dyDescent="0.25">
      <c r="A7" s="1">
        <v>2</v>
      </c>
      <c r="B7" s="1">
        <v>14</v>
      </c>
      <c r="C7" s="1">
        <v>0</v>
      </c>
      <c r="D7">
        <v>0</v>
      </c>
      <c r="E7">
        <f>D5-D13</f>
        <v>0</v>
      </c>
    </row>
    <row r="8" spans="1:6" x14ac:dyDescent="0.25">
      <c r="A8" s="1">
        <v>3</v>
      </c>
      <c r="B8" s="1">
        <v>4</v>
      </c>
      <c r="C8" s="1">
        <v>2</v>
      </c>
      <c r="D8">
        <v>0</v>
      </c>
      <c r="E8">
        <f>D13+D11-D14-D15</f>
        <v>0</v>
      </c>
    </row>
    <row r="9" spans="1:6" x14ac:dyDescent="0.25">
      <c r="A9" s="1">
        <v>3</v>
      </c>
      <c r="B9" s="1">
        <v>7</v>
      </c>
      <c r="C9" s="1">
        <v>0</v>
      </c>
      <c r="D9">
        <v>0</v>
      </c>
      <c r="E9">
        <f>D9+D6-D16</f>
        <v>0</v>
      </c>
    </row>
    <row r="10" spans="1:6" x14ac:dyDescent="0.25">
      <c r="A10" s="1">
        <v>3</v>
      </c>
      <c r="B10" s="1">
        <v>11</v>
      </c>
      <c r="C10" s="1">
        <v>1</v>
      </c>
      <c r="D10">
        <v>1</v>
      </c>
      <c r="E10">
        <f>D14-D17</f>
        <v>0</v>
      </c>
    </row>
    <row r="11" spans="1:6" x14ac:dyDescent="0.25">
      <c r="A11" s="1">
        <v>4</v>
      </c>
      <c r="B11" s="1">
        <v>6</v>
      </c>
      <c r="C11" s="1">
        <v>0</v>
      </c>
      <c r="D11">
        <v>0</v>
      </c>
      <c r="E11">
        <f>D15-D18</f>
        <v>0</v>
      </c>
    </row>
    <row r="12" spans="1:6" x14ac:dyDescent="0.25">
      <c r="A12" s="1">
        <v>4</v>
      </c>
      <c r="B12" s="1">
        <v>14</v>
      </c>
      <c r="C12" s="1">
        <v>0</v>
      </c>
      <c r="D12">
        <v>0</v>
      </c>
      <c r="E12">
        <f>D17+D18-D19</f>
        <v>0</v>
      </c>
    </row>
    <row r="13" spans="1:6" x14ac:dyDescent="0.25">
      <c r="A13" s="1">
        <v>5</v>
      </c>
      <c r="B13" s="1">
        <v>6</v>
      </c>
      <c r="C13" s="1">
        <v>0</v>
      </c>
      <c r="D13">
        <v>0</v>
      </c>
      <c r="E13">
        <f>D10-D20-D21</f>
        <v>0</v>
      </c>
    </row>
    <row r="14" spans="1:6" x14ac:dyDescent="0.25">
      <c r="A14" s="1">
        <v>6</v>
      </c>
      <c r="B14" s="1">
        <v>8</v>
      </c>
      <c r="C14" s="1">
        <v>5</v>
      </c>
      <c r="D14">
        <v>0</v>
      </c>
      <c r="E14">
        <f>D19-D22</f>
        <v>0</v>
      </c>
    </row>
    <row r="15" spans="1:6" x14ac:dyDescent="0.25">
      <c r="A15" s="1">
        <v>6</v>
      </c>
      <c r="B15" s="1">
        <v>9</v>
      </c>
      <c r="C15" s="1">
        <v>6</v>
      </c>
      <c r="D15">
        <v>0</v>
      </c>
      <c r="E15">
        <f>D7+D12-D25</f>
        <v>0</v>
      </c>
    </row>
    <row r="16" spans="1:6" x14ac:dyDescent="0.25">
      <c r="A16" s="1">
        <v>7</v>
      </c>
      <c r="B16" s="1">
        <v>13</v>
      </c>
      <c r="C16" s="1">
        <v>7</v>
      </c>
      <c r="D16">
        <v>0</v>
      </c>
      <c r="E16">
        <f>D25-D26</f>
        <v>0</v>
      </c>
    </row>
    <row r="17" spans="1:5" x14ac:dyDescent="0.25">
      <c r="A17" s="1">
        <v>8</v>
      </c>
      <c r="B17" s="1">
        <v>10</v>
      </c>
      <c r="C17" s="1">
        <v>0</v>
      </c>
      <c r="D17">
        <v>0</v>
      </c>
      <c r="E17">
        <f>D23-D27</f>
        <v>0</v>
      </c>
    </row>
    <row r="18" spans="1:5" x14ac:dyDescent="0.25">
      <c r="A18" s="1">
        <v>9</v>
      </c>
      <c r="B18" s="1">
        <v>10</v>
      </c>
      <c r="C18" s="1">
        <v>0</v>
      </c>
      <c r="D18">
        <v>0</v>
      </c>
      <c r="E18">
        <f>D21+D24+D26+D27</f>
        <v>1</v>
      </c>
    </row>
    <row r="19" spans="1:5" x14ac:dyDescent="0.25">
      <c r="A19" s="1">
        <v>10</v>
      </c>
      <c r="B19" s="1">
        <v>12</v>
      </c>
      <c r="C19" s="1">
        <v>8</v>
      </c>
      <c r="D19">
        <v>0</v>
      </c>
    </row>
    <row r="20" spans="1:5" x14ac:dyDescent="0.25">
      <c r="A20" s="1">
        <v>11</v>
      </c>
      <c r="B20" s="1">
        <v>13</v>
      </c>
      <c r="C20" s="1">
        <v>0</v>
      </c>
      <c r="D20">
        <v>0</v>
      </c>
    </row>
    <row r="21" spans="1:5" x14ac:dyDescent="0.25">
      <c r="A21" s="1">
        <v>11</v>
      </c>
      <c r="B21" s="1">
        <v>17</v>
      </c>
      <c r="C21" s="1">
        <v>2</v>
      </c>
      <c r="D21">
        <v>1</v>
      </c>
    </row>
    <row r="22" spans="1:5" x14ac:dyDescent="0.25">
      <c r="A22" s="1">
        <v>12</v>
      </c>
      <c r="B22" s="1">
        <v>13</v>
      </c>
      <c r="C22" s="1">
        <v>0</v>
      </c>
      <c r="D22">
        <v>0</v>
      </c>
    </row>
    <row r="23" spans="1:5" x14ac:dyDescent="0.25">
      <c r="A23" s="1">
        <v>13</v>
      </c>
      <c r="B23" s="1">
        <v>16</v>
      </c>
      <c r="C23" s="1">
        <v>6</v>
      </c>
      <c r="D23">
        <v>0</v>
      </c>
    </row>
    <row r="24" spans="1:5" x14ac:dyDescent="0.25">
      <c r="A24" s="1">
        <v>13</v>
      </c>
      <c r="B24" s="1">
        <v>17</v>
      </c>
      <c r="C24" s="1">
        <v>3</v>
      </c>
      <c r="D24">
        <v>0</v>
      </c>
    </row>
    <row r="25" spans="1:5" x14ac:dyDescent="0.25">
      <c r="A25" s="1">
        <v>14</v>
      </c>
      <c r="B25" s="1">
        <v>15</v>
      </c>
      <c r="C25" s="1">
        <v>4</v>
      </c>
      <c r="D25">
        <v>0</v>
      </c>
    </row>
    <row r="26" spans="1:5" x14ac:dyDescent="0.25">
      <c r="A26" s="1">
        <v>15</v>
      </c>
      <c r="B26" s="1">
        <v>17</v>
      </c>
      <c r="C26" s="1">
        <v>2</v>
      </c>
      <c r="D26">
        <v>0</v>
      </c>
    </row>
    <row r="27" spans="1:5" x14ac:dyDescent="0.25">
      <c r="A27" s="1">
        <v>16</v>
      </c>
      <c r="B27" s="1">
        <v>17</v>
      </c>
      <c r="C27" s="1">
        <v>0</v>
      </c>
      <c r="D27">
        <v>0</v>
      </c>
    </row>
  </sheetData>
  <mergeCells count="1">
    <mergeCell ref="A1:C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Сетевой график</vt:lpstr>
      <vt:lpstr>Кратчайший путь</vt:lpstr>
      <vt:lpstr>Максимальный поток(поиск реш.)</vt:lpstr>
      <vt:lpstr>Кратчайший пусть(поиск реш.)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Студент каб 52</dc:creator>
  <cp:lastModifiedBy>Студент каб 52</cp:lastModifiedBy>
  <dcterms:created xsi:type="dcterms:W3CDTF">2015-06-05T18:19:34Z</dcterms:created>
  <dcterms:modified xsi:type="dcterms:W3CDTF">2026-02-21T09:11:37Z</dcterms:modified>
</cp:coreProperties>
</file>