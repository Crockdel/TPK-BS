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78AB146F-41EB-4F74-A79E-B2CF9477EB9D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  <sheet name="Поиск решения" sheetId="2" r:id="rId2"/>
  </sheets>
  <definedNames>
    <definedName name="solver_adj" localSheetId="1" hidden="1">'Поиск решения'!$D$3:$D$12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'Поиск решения'!$D$3:$D$12</definedName>
    <definedName name="solver_lhs2" localSheetId="1" hidden="1">'Поиск решения'!$D$3:$D$12</definedName>
    <definedName name="solver_lhs3" localSheetId="1" hidden="1">'Поиск решения'!$E$3</definedName>
    <definedName name="solver_lhs4" localSheetId="1" hidden="1">'Поиск решения'!$E$4:$E$8</definedName>
    <definedName name="solver_lhs5" localSheetId="1" hidden="1">'Поиск решения'!$E$9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'Поиск решения'!$F$3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2" localSheetId="1" hidden="1">4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2" localSheetId="1" hidden="1">"целое"</definedName>
    <definedName name="solver_rhs3" localSheetId="1" hidden="1">1</definedName>
    <definedName name="solver_rhs4" localSheetId="1" hidden="1">0</definedName>
    <definedName name="solver_rhs5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E8" i="2"/>
  <c r="E7" i="2"/>
  <c r="E6" i="2"/>
  <c r="E5" i="2"/>
  <c r="E4" i="2"/>
  <c r="E9" i="2"/>
  <c r="E3" i="2"/>
  <c r="G8" i="1"/>
  <c r="G7" i="1"/>
  <c r="G6" i="1"/>
  <c r="G5" i="1"/>
  <c r="G4" i="1"/>
  <c r="G3" i="1"/>
  <c r="G10" i="1" l="1"/>
</calcChain>
</file>

<file path=xl/sharedStrings.xml><?xml version="1.0" encoding="utf-8"?>
<sst xmlns="http://schemas.openxmlformats.org/spreadsheetml/2006/main" count="15" uniqueCount="12">
  <si>
    <t>Нахождение кратчайшего пути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</si>
  <si>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</si>
  <si>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</si>
  <si>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</si>
  <si>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</si>
  <si>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</si>
  <si>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min</t>
  </si>
  <si>
    <t>Переменные</t>
  </si>
  <si>
    <t>Ограничения</t>
  </si>
  <si>
    <r>
      <t>Min L</t>
    </r>
    <r>
      <rPr>
        <b/>
        <vertAlign val="subscript"/>
        <sz val="11"/>
        <color theme="1"/>
        <rFont val="Calibri"/>
        <family val="2"/>
        <charset val="204"/>
        <scheme val="minor"/>
      </rPr>
      <t>ij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</si>
  <si>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</si>
  <si>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D</t>
    </r>
    <r>
      <rPr>
        <sz val="8"/>
        <color theme="1"/>
        <rFont val="Calibri"/>
        <family val="2"/>
        <charset val="204"/>
        <scheme val="minor"/>
      </rPr>
      <t>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</si>
</sst>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4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11</xdr:row>
      <xdr:rowOff>85725</xdr:rowOff>
    </xdr:from>
    <xdr:to>
      <xdr:col>9</xdr:col>
      <xdr:colOff>581025</xdr:colOff>
      <xdr:row>14</xdr:row>
      <xdr:rowOff>47625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3FE59C55-14D1-DEA9-A377-E93B1A312C82}"/>
            </a:ext>
          </a:extLst>
        </xdr:cNvPr>
        <xdr:cNvSpPr/>
      </xdr:nvSpPr>
      <xdr:spPr>
        <a:xfrm>
          <a:off x="6457950" y="242887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1</a:t>
          </a:r>
        </a:p>
      </xdr:txBody>
    </xdr:sp>
    <xdr:clientData/>
  </xdr:twoCellAnchor>
  <xdr:twoCellAnchor>
    <xdr:from>
      <xdr:col>11</xdr:col>
      <xdr:colOff>476250</xdr:colOff>
      <xdr:row>5</xdr:row>
      <xdr:rowOff>114300</xdr:rowOff>
    </xdr:from>
    <xdr:to>
      <xdr:col>12</xdr:col>
      <xdr:colOff>438150</xdr:colOff>
      <xdr:row>8</xdr:row>
      <xdr:rowOff>76200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1C084488-F35E-4B88-84C0-EA9B25008EA9}"/>
            </a:ext>
          </a:extLst>
        </xdr:cNvPr>
        <xdr:cNvSpPr/>
      </xdr:nvSpPr>
      <xdr:spPr>
        <a:xfrm>
          <a:off x="8143875" y="131445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2</a:t>
          </a:r>
        </a:p>
      </xdr:txBody>
    </xdr:sp>
    <xdr:clientData/>
  </xdr:twoCellAnchor>
  <xdr:twoCellAnchor>
    <xdr:from>
      <xdr:col>11</xdr:col>
      <xdr:colOff>57150</xdr:colOff>
      <xdr:row>12</xdr:row>
      <xdr:rowOff>9525</xdr:rowOff>
    </xdr:from>
    <xdr:to>
      <xdr:col>12</xdr:col>
      <xdr:colOff>19050</xdr:colOff>
      <xdr:row>14</xdr:row>
      <xdr:rowOff>161925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BB329987-FF37-4705-B5B3-AB1F9928E4BD}"/>
            </a:ext>
          </a:extLst>
        </xdr:cNvPr>
        <xdr:cNvSpPr/>
      </xdr:nvSpPr>
      <xdr:spPr>
        <a:xfrm>
          <a:off x="7724775" y="254317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3</a:t>
          </a:r>
        </a:p>
      </xdr:txBody>
    </xdr:sp>
    <xdr:clientData/>
  </xdr:twoCellAnchor>
  <xdr:twoCellAnchor>
    <xdr:from>
      <xdr:col>10</xdr:col>
      <xdr:colOff>9525</xdr:colOff>
      <xdr:row>16</xdr:row>
      <xdr:rowOff>104775</xdr:rowOff>
    </xdr:from>
    <xdr:to>
      <xdr:col>10</xdr:col>
      <xdr:colOff>581025</xdr:colOff>
      <xdr:row>19</xdr:row>
      <xdr:rowOff>66675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A1A33E4B-3388-4FEE-9C0D-D2DD2C86C7C7}"/>
            </a:ext>
          </a:extLst>
        </xdr:cNvPr>
        <xdr:cNvSpPr/>
      </xdr:nvSpPr>
      <xdr:spPr>
        <a:xfrm>
          <a:off x="7067550" y="340042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5</a:t>
          </a:r>
        </a:p>
      </xdr:txBody>
    </xdr:sp>
    <xdr:clientData/>
  </xdr:twoCellAnchor>
  <xdr:twoCellAnchor>
    <xdr:from>
      <xdr:col>11</xdr:col>
      <xdr:colOff>314324</xdr:colOff>
      <xdr:row>22</xdr:row>
      <xdr:rowOff>85724</xdr:rowOff>
    </xdr:from>
    <xdr:to>
      <xdr:col>12</xdr:col>
      <xdr:colOff>342899</xdr:colOff>
      <xdr:row>25</xdr:row>
      <xdr:rowOff>152399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42E02E-2913-466D-9A73-2F1F7EB0DE86}"/>
            </a:ext>
          </a:extLst>
        </xdr:cNvPr>
        <xdr:cNvSpPr/>
      </xdr:nvSpPr>
      <xdr:spPr>
        <a:xfrm>
          <a:off x="7981949" y="4524374"/>
          <a:ext cx="638175" cy="6381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 7</a:t>
          </a:r>
        </a:p>
      </xdr:txBody>
    </xdr:sp>
    <xdr:clientData/>
  </xdr:twoCellAnchor>
  <xdr:twoCellAnchor>
    <xdr:from>
      <xdr:col>13</xdr:col>
      <xdr:colOff>533400</xdr:colOff>
      <xdr:row>9</xdr:row>
      <xdr:rowOff>104775</xdr:rowOff>
    </xdr:from>
    <xdr:to>
      <xdr:col>14</xdr:col>
      <xdr:colOff>495300</xdr:colOff>
      <xdr:row>12</xdr:row>
      <xdr:rowOff>66675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C6487B04-AED5-4DFE-BA27-D02772E0C119}"/>
            </a:ext>
          </a:extLst>
        </xdr:cNvPr>
        <xdr:cNvSpPr/>
      </xdr:nvSpPr>
      <xdr:spPr>
        <a:xfrm>
          <a:off x="9420225" y="206692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4</a:t>
          </a:r>
        </a:p>
      </xdr:txBody>
    </xdr:sp>
    <xdr:clientData/>
  </xdr:twoCellAnchor>
  <xdr:twoCellAnchor>
    <xdr:from>
      <xdr:col>13</xdr:col>
      <xdr:colOff>28575</xdr:colOff>
      <xdr:row>18</xdr:row>
      <xdr:rowOff>57150</xdr:rowOff>
    </xdr:from>
    <xdr:to>
      <xdr:col>13</xdr:col>
      <xdr:colOff>600075</xdr:colOff>
      <xdr:row>21</xdr:row>
      <xdr:rowOff>19050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172DE144-C00C-46C1-B4AC-67F2DE4304EB}"/>
            </a:ext>
          </a:extLst>
        </xdr:cNvPr>
        <xdr:cNvSpPr/>
      </xdr:nvSpPr>
      <xdr:spPr>
        <a:xfrm>
          <a:off x="8915400" y="373380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6</a:t>
          </a:r>
        </a:p>
      </xdr:txBody>
    </xdr:sp>
    <xdr:clientData/>
  </xdr:twoCellAnchor>
  <xdr:oneCellAnchor>
    <xdr:from>
      <xdr:col>11</xdr:col>
      <xdr:colOff>428625</xdr:colOff>
      <xdr:row>9</xdr:row>
      <xdr:rowOff>123825</xdr:rowOff>
    </xdr:from>
    <xdr:ext cx="275653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62BA08D-3933-278B-AC29-BB85338D9E1A}"/>
            </a:ext>
          </a:extLst>
        </xdr:cNvPr>
        <xdr:cNvSpPr txBox="1"/>
      </xdr:nvSpPr>
      <xdr:spPr>
        <a:xfrm>
          <a:off x="8096250" y="20859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5</a:t>
          </a:r>
        </a:p>
      </xdr:txBody>
    </xdr:sp>
    <xdr:clientData/>
  </xdr:oneCellAnchor>
  <xdr:oneCellAnchor>
    <xdr:from>
      <xdr:col>10</xdr:col>
      <xdr:colOff>485775</xdr:colOff>
      <xdr:row>7</xdr:row>
      <xdr:rowOff>85725</xdr:rowOff>
    </xdr:from>
    <xdr:ext cx="275653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41FE7AD-5C69-43A1-85BF-84774460A72A}"/>
            </a:ext>
          </a:extLst>
        </xdr:cNvPr>
        <xdr:cNvSpPr txBox="1"/>
      </xdr:nvSpPr>
      <xdr:spPr>
        <a:xfrm>
          <a:off x="7543800" y="16668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oneCellAnchor>
    <xdr:from>
      <xdr:col>9</xdr:col>
      <xdr:colOff>66675</xdr:colOff>
      <xdr:row>19</xdr:row>
      <xdr:rowOff>161925</xdr:rowOff>
    </xdr:from>
    <xdr:ext cx="275653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E241B5B-AB97-45DE-8CA5-F3AED084830B}"/>
            </a:ext>
          </a:extLst>
        </xdr:cNvPr>
        <xdr:cNvSpPr txBox="1"/>
      </xdr:nvSpPr>
      <xdr:spPr>
        <a:xfrm>
          <a:off x="6515100" y="40290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13</xdr:col>
      <xdr:colOff>161925</xdr:colOff>
      <xdr:row>4</xdr:row>
      <xdr:rowOff>19050</xdr:rowOff>
    </xdr:from>
    <xdr:ext cx="275653" cy="31149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3981152-10A3-4293-99C2-3115F6E5C875}"/>
            </a:ext>
          </a:extLst>
        </xdr:cNvPr>
        <xdr:cNvSpPr txBox="1"/>
      </xdr:nvSpPr>
      <xdr:spPr>
        <a:xfrm>
          <a:off x="9048750" y="10287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5</a:t>
          </a:r>
        </a:p>
      </xdr:txBody>
    </xdr:sp>
    <xdr:clientData/>
  </xdr:oneCellAnchor>
  <xdr:oneCellAnchor>
    <xdr:from>
      <xdr:col>9</xdr:col>
      <xdr:colOff>314325</xdr:colOff>
      <xdr:row>17</xdr:row>
      <xdr:rowOff>85725</xdr:rowOff>
    </xdr:from>
    <xdr:ext cx="275653" cy="31149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7004F8E-0219-4789-87E5-3B1E74C4B998}"/>
            </a:ext>
          </a:extLst>
        </xdr:cNvPr>
        <xdr:cNvSpPr txBox="1"/>
      </xdr:nvSpPr>
      <xdr:spPr>
        <a:xfrm>
          <a:off x="6762750" y="35718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13</xdr:col>
      <xdr:colOff>0</xdr:colOff>
      <xdr:row>5</xdr:row>
      <xdr:rowOff>161925</xdr:rowOff>
    </xdr:from>
    <xdr:ext cx="275653" cy="31149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3EBA83F-20A7-4061-ADA3-0F7396A059D0}"/>
            </a:ext>
          </a:extLst>
        </xdr:cNvPr>
        <xdr:cNvSpPr txBox="1"/>
      </xdr:nvSpPr>
      <xdr:spPr>
        <a:xfrm>
          <a:off x="8886825" y="13620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13</xdr:col>
      <xdr:colOff>352425</xdr:colOff>
      <xdr:row>11</xdr:row>
      <xdr:rowOff>76200</xdr:rowOff>
    </xdr:from>
    <xdr:ext cx="27565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DC2BD35-987D-46D8-AC39-B9C093AA9683}"/>
            </a:ext>
          </a:extLst>
        </xdr:cNvPr>
        <xdr:cNvSpPr txBox="1"/>
      </xdr:nvSpPr>
      <xdr:spPr>
        <a:xfrm>
          <a:off x="9239250" y="24193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oneCellAnchor>
    <xdr:from>
      <xdr:col>11</xdr:col>
      <xdr:colOff>352425</xdr:colOff>
      <xdr:row>15</xdr:row>
      <xdr:rowOff>104775</xdr:rowOff>
    </xdr:from>
    <xdr:ext cx="275653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56E7B4F-780C-46F2-8F15-CA0F2C337AEF}"/>
            </a:ext>
          </a:extLst>
        </xdr:cNvPr>
        <xdr:cNvSpPr txBox="1"/>
      </xdr:nvSpPr>
      <xdr:spPr>
        <a:xfrm>
          <a:off x="8020050" y="32099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4</a:t>
          </a:r>
        </a:p>
      </xdr:txBody>
    </xdr:sp>
    <xdr:clientData/>
  </xdr:oneCellAnchor>
  <xdr:oneCellAnchor>
    <xdr:from>
      <xdr:col>9</xdr:col>
      <xdr:colOff>152400</xdr:colOff>
      <xdr:row>24</xdr:row>
      <xdr:rowOff>114300</xdr:rowOff>
    </xdr:from>
    <xdr:ext cx="275653" cy="31149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C92CFCA-880A-4083-BF22-9DEA0ABB7BDC}"/>
            </a:ext>
          </a:extLst>
        </xdr:cNvPr>
        <xdr:cNvSpPr txBox="1"/>
      </xdr:nvSpPr>
      <xdr:spPr>
        <a:xfrm>
          <a:off x="6600825" y="49339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1</a:t>
          </a:r>
        </a:p>
      </xdr:txBody>
    </xdr:sp>
    <xdr:clientData/>
  </xdr:oneCellAnchor>
  <xdr:twoCellAnchor>
    <xdr:from>
      <xdr:col>14</xdr:col>
      <xdr:colOff>133350</xdr:colOff>
      <xdr:row>3</xdr:row>
      <xdr:rowOff>104775</xdr:rowOff>
    </xdr:from>
    <xdr:to>
      <xdr:col>15</xdr:col>
      <xdr:colOff>95250</xdr:colOff>
      <xdr:row>6</xdr:row>
      <xdr:rowOff>66675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7CE83540-85C6-4587-A956-FE70ADF8DBFD}"/>
            </a:ext>
          </a:extLst>
        </xdr:cNvPr>
        <xdr:cNvSpPr/>
      </xdr:nvSpPr>
      <xdr:spPr>
        <a:xfrm>
          <a:off x="9629775" y="92392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8</a:t>
          </a:r>
        </a:p>
      </xdr:txBody>
    </xdr:sp>
    <xdr:clientData/>
  </xdr:twoCellAnchor>
  <xdr:twoCellAnchor>
    <xdr:from>
      <xdr:col>8</xdr:col>
      <xdr:colOff>28575</xdr:colOff>
      <xdr:row>20</xdr:row>
      <xdr:rowOff>66675</xdr:rowOff>
    </xdr:from>
    <xdr:to>
      <xdr:col>8</xdr:col>
      <xdr:colOff>600075</xdr:colOff>
      <xdr:row>23</xdr:row>
      <xdr:rowOff>28575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3942ED9A-7709-416D-8ECD-18FA3D5BDD9A}"/>
            </a:ext>
          </a:extLst>
        </xdr:cNvPr>
        <xdr:cNvSpPr/>
      </xdr:nvSpPr>
      <xdr:spPr>
        <a:xfrm>
          <a:off x="5867400" y="412432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9</a:t>
          </a:r>
        </a:p>
      </xdr:txBody>
    </xdr:sp>
    <xdr:clientData/>
  </xdr:twoCellAnchor>
  <xdr:twoCellAnchor>
    <xdr:from>
      <xdr:col>9</xdr:col>
      <xdr:colOff>590549</xdr:colOff>
      <xdr:row>23</xdr:row>
      <xdr:rowOff>85725</xdr:rowOff>
    </xdr:from>
    <xdr:to>
      <xdr:col>11</xdr:col>
      <xdr:colOff>9524</xdr:colOff>
      <xdr:row>26</xdr:row>
      <xdr:rowOff>85725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414B95FC-B1E4-499A-8736-65146D46B7E7}"/>
            </a:ext>
          </a:extLst>
        </xdr:cNvPr>
        <xdr:cNvSpPr/>
      </xdr:nvSpPr>
      <xdr:spPr>
        <a:xfrm>
          <a:off x="7038974" y="4714875"/>
          <a:ext cx="638175" cy="5715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10</a:t>
          </a:r>
        </a:p>
      </xdr:txBody>
    </xdr:sp>
    <xdr:clientData/>
  </xdr:twoCellAnchor>
  <xdr:twoCellAnchor>
    <xdr:from>
      <xdr:col>8</xdr:col>
      <xdr:colOff>104774</xdr:colOff>
      <xdr:row>24</xdr:row>
      <xdr:rowOff>57150</xdr:rowOff>
    </xdr:from>
    <xdr:to>
      <xdr:col>9</xdr:col>
      <xdr:colOff>171449</xdr:colOff>
      <xdr:row>27</xdr:row>
      <xdr:rowOff>38100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224D26F4-49E4-4266-AFCB-58529B15DEF5}"/>
            </a:ext>
          </a:extLst>
        </xdr:cNvPr>
        <xdr:cNvSpPr/>
      </xdr:nvSpPr>
      <xdr:spPr>
        <a:xfrm>
          <a:off x="5943599" y="4876800"/>
          <a:ext cx="676275" cy="5524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11</a:t>
          </a:r>
        </a:p>
      </xdr:txBody>
    </xdr:sp>
    <xdr:clientData/>
  </xdr:twoCellAnchor>
  <xdr:twoCellAnchor>
    <xdr:from>
      <xdr:col>14</xdr:col>
      <xdr:colOff>152400</xdr:colOff>
      <xdr:row>14</xdr:row>
      <xdr:rowOff>95250</xdr:rowOff>
    </xdr:from>
    <xdr:to>
      <xdr:col>15</xdr:col>
      <xdr:colOff>190500</xdr:colOff>
      <xdr:row>17</xdr:row>
      <xdr:rowOff>76200</xdr:rowOff>
    </xdr:to>
    <xdr:sp macro="" textlink="">
      <xdr:nvSpPr>
        <xdr:cNvPr id="43" name="Овал 42">
          <a:extLst>
            <a:ext uri="{FF2B5EF4-FFF2-40B4-BE49-F238E27FC236}">
              <a16:creationId xmlns:a16="http://schemas.microsoft.com/office/drawing/2014/main" id="{74F0CE29-C55F-4D8C-824E-120D34DE7DB7}"/>
            </a:ext>
          </a:extLst>
        </xdr:cNvPr>
        <xdr:cNvSpPr/>
      </xdr:nvSpPr>
      <xdr:spPr>
        <a:xfrm>
          <a:off x="9648825" y="3009900"/>
          <a:ext cx="647700" cy="5524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12</a:t>
          </a:r>
        </a:p>
      </xdr:txBody>
    </xdr:sp>
    <xdr:clientData/>
  </xdr:twoCellAnchor>
  <xdr:twoCellAnchor>
    <xdr:from>
      <xdr:col>7</xdr:col>
      <xdr:colOff>581024</xdr:colOff>
      <xdr:row>16</xdr:row>
      <xdr:rowOff>9525</xdr:rowOff>
    </xdr:from>
    <xdr:to>
      <xdr:col>9</xdr:col>
      <xdr:colOff>19049</xdr:colOff>
      <xdr:row>18</xdr:row>
      <xdr:rowOff>161925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CCA697FF-4D0A-49EB-9E1E-82BEB4B511C4}"/>
            </a:ext>
          </a:extLst>
        </xdr:cNvPr>
        <xdr:cNvSpPr/>
      </xdr:nvSpPr>
      <xdr:spPr>
        <a:xfrm>
          <a:off x="5810249" y="3305175"/>
          <a:ext cx="657225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13</a:t>
          </a:r>
        </a:p>
      </xdr:txBody>
    </xdr:sp>
    <xdr:clientData/>
  </xdr:twoCellAnchor>
  <xdr:twoCellAnchor>
    <xdr:from>
      <xdr:col>15</xdr:col>
      <xdr:colOff>419099</xdr:colOff>
      <xdr:row>8</xdr:row>
      <xdr:rowOff>142875</xdr:rowOff>
    </xdr:from>
    <xdr:to>
      <xdr:col>16</xdr:col>
      <xdr:colOff>466724</xdr:colOff>
      <xdr:row>11</xdr:row>
      <xdr:rowOff>123825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A1048BB2-426A-432C-9BDC-B67C9976F528}"/>
            </a:ext>
          </a:extLst>
        </xdr:cNvPr>
        <xdr:cNvSpPr/>
      </xdr:nvSpPr>
      <xdr:spPr>
        <a:xfrm>
          <a:off x="10525124" y="1914525"/>
          <a:ext cx="657225" cy="5524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2000"/>
            <a:t>14</a:t>
          </a:r>
        </a:p>
      </xdr:txBody>
    </xdr:sp>
    <xdr:clientData/>
  </xdr:twoCellAnchor>
  <xdr:twoCellAnchor>
    <xdr:from>
      <xdr:col>9</xdr:col>
      <xdr:colOff>497331</xdr:colOff>
      <xdr:row>7</xdr:row>
      <xdr:rowOff>0</xdr:rowOff>
    </xdr:from>
    <xdr:to>
      <xdr:col>11</xdr:col>
      <xdr:colOff>476250</xdr:colOff>
      <xdr:row>11</xdr:row>
      <xdr:rowOff>163840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8F14355E-DBE3-253E-F869-25E016BE2404}"/>
            </a:ext>
          </a:extLst>
        </xdr:cNvPr>
        <xdr:cNvCxnSpPr>
          <a:stCxn id="2" idx="7"/>
          <a:endCxn id="3" idx="2"/>
        </xdr:cNvCxnSpPr>
      </xdr:nvCxnSpPr>
      <xdr:spPr>
        <a:xfrm flipV="1">
          <a:off x="6945756" y="1581150"/>
          <a:ext cx="1198119" cy="925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497331</xdr:colOff>
      <xdr:row>12</xdr:row>
      <xdr:rowOff>87640</xdr:rowOff>
    </xdr:from>
    <xdr:to>
      <xdr:col>11</xdr:col>
      <xdr:colOff>140844</xdr:colOff>
      <xdr:row>13</xdr:row>
      <xdr:rowOff>160010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A06B93F7-9232-4915-1BAD-3A560C5A8B08}"/>
            </a:ext>
          </a:extLst>
        </xdr:cNvPr>
        <xdr:cNvCxnSpPr>
          <a:stCxn id="2" idx="5"/>
          <a:endCxn id="4" idx="1"/>
        </xdr:cNvCxnSpPr>
      </xdr:nvCxnSpPr>
      <xdr:spPr>
        <a:xfrm flipV="1">
          <a:off x="6945756" y="2621290"/>
          <a:ext cx="862713" cy="262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361950</xdr:colOff>
      <xdr:row>11</xdr:row>
      <xdr:rowOff>66675</xdr:rowOff>
    </xdr:from>
    <xdr:ext cx="275653" cy="31149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A5707A-2C56-3EEF-42AB-BAB34E7B5A05}"/>
            </a:ext>
          </a:extLst>
        </xdr:cNvPr>
        <xdr:cNvSpPr txBox="1"/>
      </xdr:nvSpPr>
      <xdr:spPr>
        <a:xfrm>
          <a:off x="7419975" y="24098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1</a:t>
          </a:r>
        </a:p>
      </xdr:txBody>
    </xdr:sp>
    <xdr:clientData/>
  </xdr:oneCellAnchor>
  <xdr:twoCellAnchor>
    <xdr:from>
      <xdr:col>12</xdr:col>
      <xdr:colOff>354456</xdr:colOff>
      <xdr:row>7</xdr:row>
      <xdr:rowOff>188585</xdr:rowOff>
    </xdr:from>
    <xdr:to>
      <xdr:col>14</xdr:col>
      <xdr:colOff>7494</xdr:colOff>
      <xdr:row>9</xdr:row>
      <xdr:rowOff>182890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36DC21DD-828D-24E7-4F1A-9C8B5525F913}"/>
            </a:ext>
          </a:extLst>
        </xdr:cNvPr>
        <xdr:cNvCxnSpPr>
          <a:stCxn id="3" idx="5"/>
          <a:endCxn id="7" idx="1"/>
        </xdr:cNvCxnSpPr>
      </xdr:nvCxnSpPr>
      <xdr:spPr>
        <a:xfrm>
          <a:off x="8631681" y="1769735"/>
          <a:ext cx="872238" cy="3753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409575</xdr:colOff>
      <xdr:row>7</xdr:row>
      <xdr:rowOff>0</xdr:rowOff>
    </xdr:from>
    <xdr:ext cx="27565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BE12BA8-DA80-DA41-4F89-EF66C6D7D2BB}"/>
            </a:ext>
          </a:extLst>
        </xdr:cNvPr>
        <xdr:cNvSpPr txBox="1"/>
      </xdr:nvSpPr>
      <xdr:spPr>
        <a:xfrm>
          <a:off x="8686800" y="15811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6</a:t>
          </a:r>
        </a:p>
      </xdr:txBody>
    </xdr:sp>
    <xdr:clientData/>
  </xdr:oneCellAnchor>
  <xdr:twoCellAnchor>
    <xdr:from>
      <xdr:col>12</xdr:col>
      <xdr:colOff>354456</xdr:colOff>
      <xdr:row>4</xdr:row>
      <xdr:rowOff>180975</xdr:rowOff>
    </xdr:from>
    <xdr:to>
      <xdr:col>14</xdr:col>
      <xdr:colOff>133350</xdr:colOff>
      <xdr:row>6</xdr:row>
      <xdr:rowOff>1915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3FB55468-FA5C-7A67-DE67-91AD1A7CCBEB}"/>
            </a:ext>
          </a:extLst>
        </xdr:cNvPr>
        <xdr:cNvCxnSpPr>
          <a:stCxn id="3" idx="7"/>
          <a:endCxn id="28" idx="2"/>
        </xdr:cNvCxnSpPr>
      </xdr:nvCxnSpPr>
      <xdr:spPr>
        <a:xfrm flipV="1">
          <a:off x="8631681" y="1190625"/>
          <a:ext cx="998094" cy="20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438150</xdr:colOff>
      <xdr:row>7</xdr:row>
      <xdr:rowOff>0</xdr:rowOff>
    </xdr:from>
    <xdr:to>
      <xdr:col>15</xdr:col>
      <xdr:colOff>419099</xdr:colOff>
      <xdr:row>10</xdr:row>
      <xdr:rowOff>38100</xdr:rowOff>
    </xdr:to>
    <xdr:cxnSp macro="">
      <xdr:nvCxnSpPr>
        <xdr:cNvPr id="69" name="Прямая со стрелкой 68">
          <a:extLst>
            <a:ext uri="{FF2B5EF4-FFF2-40B4-BE49-F238E27FC236}">
              <a16:creationId xmlns:a16="http://schemas.microsoft.com/office/drawing/2014/main" id="{4E17BB9B-74F2-5CD6-4BED-E5B8EB6CF09B}"/>
            </a:ext>
          </a:extLst>
        </xdr:cNvPr>
        <xdr:cNvCxnSpPr>
          <a:stCxn id="3" idx="6"/>
          <a:endCxn id="45" idx="2"/>
        </xdr:cNvCxnSpPr>
      </xdr:nvCxnSpPr>
      <xdr:spPr>
        <a:xfrm>
          <a:off x="8715375" y="1581150"/>
          <a:ext cx="1809749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544956</xdr:colOff>
      <xdr:row>10</xdr:row>
      <xdr:rowOff>180975</xdr:rowOff>
    </xdr:from>
    <xdr:to>
      <xdr:col>13</xdr:col>
      <xdr:colOff>533400</xdr:colOff>
      <xdr:row>12</xdr:row>
      <xdr:rowOff>87640</xdr:rowOff>
    </xdr:to>
    <xdr:cxnSp macro="">
      <xdr:nvCxnSpPr>
        <xdr:cNvPr id="71" name="Прямая со стрелкой 70">
          <a:extLst>
            <a:ext uri="{FF2B5EF4-FFF2-40B4-BE49-F238E27FC236}">
              <a16:creationId xmlns:a16="http://schemas.microsoft.com/office/drawing/2014/main" id="{AA064120-BE4F-E2D7-E201-682E482B593C}"/>
            </a:ext>
          </a:extLst>
        </xdr:cNvPr>
        <xdr:cNvCxnSpPr>
          <a:stCxn id="4" idx="7"/>
          <a:endCxn id="7" idx="2"/>
        </xdr:cNvCxnSpPr>
      </xdr:nvCxnSpPr>
      <xdr:spPr>
        <a:xfrm flipV="1">
          <a:off x="8212581" y="2333625"/>
          <a:ext cx="1207644" cy="2876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0</xdr:colOff>
      <xdr:row>10</xdr:row>
      <xdr:rowOff>161925</xdr:rowOff>
    </xdr:from>
    <xdr:ext cx="275653" cy="311496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85698B9-88D7-9751-A9C3-541730DE819F}"/>
            </a:ext>
          </a:extLst>
        </xdr:cNvPr>
        <xdr:cNvSpPr txBox="1"/>
      </xdr:nvSpPr>
      <xdr:spPr>
        <a:xfrm>
          <a:off x="8277225" y="23145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6</a:t>
          </a:r>
        </a:p>
      </xdr:txBody>
    </xdr:sp>
    <xdr:clientData/>
  </xdr:oneCellAnchor>
  <xdr:twoCellAnchor>
    <xdr:from>
      <xdr:col>11</xdr:col>
      <xdr:colOff>342900</xdr:colOff>
      <xdr:row>14</xdr:row>
      <xdr:rowOff>161925</xdr:rowOff>
    </xdr:from>
    <xdr:to>
      <xdr:col>12</xdr:col>
      <xdr:colOff>23812</xdr:colOff>
      <xdr:row>22</xdr:row>
      <xdr:rowOff>85724</xdr:rowOff>
    </xdr:to>
    <xdr:cxnSp macro="">
      <xdr:nvCxnSpPr>
        <xdr:cNvPr id="74" name="Прямая со стрелкой 73">
          <a:extLst>
            <a:ext uri="{FF2B5EF4-FFF2-40B4-BE49-F238E27FC236}">
              <a16:creationId xmlns:a16="http://schemas.microsoft.com/office/drawing/2014/main" id="{16967FC5-AD51-3300-4364-C60BE45EEC2D}"/>
            </a:ext>
          </a:extLst>
        </xdr:cNvPr>
        <xdr:cNvCxnSpPr>
          <a:stCxn id="4" idx="4"/>
          <a:endCxn id="6" idx="0"/>
        </xdr:cNvCxnSpPr>
      </xdr:nvCxnSpPr>
      <xdr:spPr>
        <a:xfrm>
          <a:off x="8010525" y="3076575"/>
          <a:ext cx="290512" cy="1447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17</xdr:row>
      <xdr:rowOff>28575</xdr:rowOff>
    </xdr:from>
    <xdr:ext cx="275653" cy="311496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E43951B-8160-5268-E37A-3163B50B5AB9}"/>
            </a:ext>
          </a:extLst>
        </xdr:cNvPr>
        <xdr:cNvSpPr txBox="1"/>
      </xdr:nvSpPr>
      <xdr:spPr>
        <a:xfrm>
          <a:off x="7667625" y="35147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twoCellAnchor>
    <xdr:from>
      <xdr:col>11</xdr:col>
      <xdr:colOff>342900</xdr:colOff>
      <xdr:row>5</xdr:row>
      <xdr:rowOff>179060</xdr:rowOff>
    </xdr:from>
    <xdr:to>
      <xdr:col>14</xdr:col>
      <xdr:colOff>217044</xdr:colOff>
      <xdr:row>12</xdr:row>
      <xdr:rowOff>9525</xdr:rowOff>
    </xdr:to>
    <xdr:cxnSp macro="">
      <xdr:nvCxnSpPr>
        <xdr:cNvPr id="78" name="Прямая со стрелкой 77">
          <a:extLst>
            <a:ext uri="{FF2B5EF4-FFF2-40B4-BE49-F238E27FC236}">
              <a16:creationId xmlns:a16="http://schemas.microsoft.com/office/drawing/2014/main" id="{5DD0FC43-69E5-5079-2B52-15D1D1CC3AEC}"/>
            </a:ext>
          </a:extLst>
        </xdr:cNvPr>
        <xdr:cNvCxnSpPr>
          <a:stCxn id="4" idx="0"/>
          <a:endCxn id="28" idx="3"/>
        </xdr:cNvCxnSpPr>
      </xdr:nvCxnSpPr>
      <xdr:spPr>
        <a:xfrm flipV="1">
          <a:off x="8010525" y="1379210"/>
          <a:ext cx="1702944" cy="1163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13</xdr:row>
      <xdr:rowOff>85725</xdr:rowOff>
    </xdr:from>
    <xdr:to>
      <xdr:col>14</xdr:col>
      <xdr:colOff>152400</xdr:colOff>
      <xdr:row>15</xdr:row>
      <xdr:rowOff>180975</xdr:rowOff>
    </xdr:to>
    <xdr:cxnSp macro="">
      <xdr:nvCxnSpPr>
        <xdr:cNvPr id="80" name="Прямая со стрелкой 79">
          <a:extLst>
            <a:ext uri="{FF2B5EF4-FFF2-40B4-BE49-F238E27FC236}">
              <a16:creationId xmlns:a16="http://schemas.microsoft.com/office/drawing/2014/main" id="{92A42E27-5B30-A122-BA53-805CEC999754}"/>
            </a:ext>
          </a:extLst>
        </xdr:cNvPr>
        <xdr:cNvCxnSpPr>
          <a:stCxn id="4" idx="6"/>
          <a:endCxn id="43" idx="2"/>
        </xdr:cNvCxnSpPr>
      </xdr:nvCxnSpPr>
      <xdr:spPr>
        <a:xfrm>
          <a:off x="8296275" y="2809875"/>
          <a:ext cx="13525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66675</xdr:colOff>
      <xdr:row>12</xdr:row>
      <xdr:rowOff>47625</xdr:rowOff>
    </xdr:from>
    <xdr:ext cx="275653" cy="31149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33485AF-1851-D1B3-61E7-61DAF4CEDA2D}"/>
            </a:ext>
          </a:extLst>
        </xdr:cNvPr>
        <xdr:cNvSpPr txBox="1"/>
      </xdr:nvSpPr>
      <xdr:spPr>
        <a:xfrm>
          <a:off x="8343900" y="25812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4</a:t>
          </a:r>
        </a:p>
      </xdr:txBody>
    </xdr:sp>
    <xdr:clientData/>
  </xdr:oneCellAnchor>
  <xdr:twoCellAnchor>
    <xdr:from>
      <xdr:col>13</xdr:col>
      <xdr:colOff>314325</xdr:colOff>
      <xdr:row>11</xdr:row>
      <xdr:rowOff>179060</xdr:rowOff>
    </xdr:from>
    <xdr:to>
      <xdr:col>14</xdr:col>
      <xdr:colOff>7494</xdr:colOff>
      <xdr:row>18</xdr:row>
      <xdr:rowOff>57150</xdr:rowOff>
    </xdr:to>
    <xdr:cxnSp macro="">
      <xdr:nvCxnSpPr>
        <xdr:cNvPr id="83" name="Прямая со стрелкой 82">
          <a:extLst>
            <a:ext uri="{FF2B5EF4-FFF2-40B4-BE49-F238E27FC236}">
              <a16:creationId xmlns:a16="http://schemas.microsoft.com/office/drawing/2014/main" id="{F1433F7D-B788-4EEC-DA94-5AFA1B9E58CF}"/>
            </a:ext>
          </a:extLst>
        </xdr:cNvPr>
        <xdr:cNvCxnSpPr>
          <a:stCxn id="7" idx="3"/>
          <a:endCxn id="8" idx="0"/>
        </xdr:cNvCxnSpPr>
      </xdr:nvCxnSpPr>
      <xdr:spPr>
        <a:xfrm flipH="1">
          <a:off x="9201150" y="2522210"/>
          <a:ext cx="302769" cy="1211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17</xdr:row>
      <xdr:rowOff>180975</xdr:rowOff>
    </xdr:from>
    <xdr:to>
      <xdr:col>13</xdr:col>
      <xdr:colOff>112269</xdr:colOff>
      <xdr:row>18</xdr:row>
      <xdr:rowOff>135265</xdr:rowOff>
    </xdr:to>
    <xdr:cxnSp macro="">
      <xdr:nvCxnSpPr>
        <xdr:cNvPr id="87" name="Прямая со стрелкой 86">
          <a:extLst>
            <a:ext uri="{FF2B5EF4-FFF2-40B4-BE49-F238E27FC236}">
              <a16:creationId xmlns:a16="http://schemas.microsoft.com/office/drawing/2014/main" id="{CB6DE7ED-8128-F0C2-C4D9-494C1CC4AA54}"/>
            </a:ext>
          </a:extLst>
        </xdr:cNvPr>
        <xdr:cNvCxnSpPr>
          <a:stCxn id="5" idx="6"/>
          <a:endCxn id="8" idx="1"/>
        </xdr:cNvCxnSpPr>
      </xdr:nvCxnSpPr>
      <xdr:spPr>
        <a:xfrm>
          <a:off x="7639050" y="3667125"/>
          <a:ext cx="1360044" cy="1447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516381</xdr:colOff>
      <xdr:row>17</xdr:row>
      <xdr:rowOff>180975</xdr:rowOff>
    </xdr:from>
    <xdr:to>
      <xdr:col>10</xdr:col>
      <xdr:colOff>9525</xdr:colOff>
      <xdr:row>20</xdr:row>
      <xdr:rowOff>144790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B5B59BAF-30B6-C2C3-4777-6A9501DD7138}"/>
            </a:ext>
          </a:extLst>
        </xdr:cNvPr>
        <xdr:cNvCxnSpPr>
          <a:stCxn id="5" idx="2"/>
          <a:endCxn id="40" idx="7"/>
        </xdr:cNvCxnSpPr>
      </xdr:nvCxnSpPr>
      <xdr:spPr>
        <a:xfrm flipH="1">
          <a:off x="6355206" y="3667125"/>
          <a:ext cx="712344" cy="5353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249440</xdr:colOff>
      <xdr:row>20</xdr:row>
      <xdr:rowOff>131435</xdr:rowOff>
    </xdr:from>
    <xdr:to>
      <xdr:col>13</xdr:col>
      <xdr:colOff>112269</xdr:colOff>
      <xdr:row>22</xdr:row>
      <xdr:rowOff>179183</xdr:rowOff>
    </xdr:to>
    <xdr:cxnSp macro="">
      <xdr:nvCxnSpPr>
        <xdr:cNvPr id="91" name="Прямая со стрелкой 90">
          <a:extLst>
            <a:ext uri="{FF2B5EF4-FFF2-40B4-BE49-F238E27FC236}">
              <a16:creationId xmlns:a16="http://schemas.microsoft.com/office/drawing/2014/main" id="{813A1513-A06E-ECBC-52C9-BDE9401CE76E}"/>
            </a:ext>
          </a:extLst>
        </xdr:cNvPr>
        <xdr:cNvCxnSpPr>
          <a:stCxn id="8" idx="3"/>
          <a:endCxn id="6" idx="7"/>
        </xdr:cNvCxnSpPr>
      </xdr:nvCxnSpPr>
      <xdr:spPr>
        <a:xfrm flipH="1">
          <a:off x="8526665" y="4189085"/>
          <a:ext cx="472429" cy="4287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419100</xdr:colOff>
      <xdr:row>20</xdr:row>
      <xdr:rowOff>19050</xdr:rowOff>
    </xdr:from>
    <xdr:ext cx="275653" cy="31149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E279A63-4CA3-F2B0-CA4F-0CA866EB346E}"/>
            </a:ext>
          </a:extLst>
        </xdr:cNvPr>
        <xdr:cNvSpPr txBox="1"/>
      </xdr:nvSpPr>
      <xdr:spPr>
        <a:xfrm>
          <a:off x="8696325" y="40767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4</a:t>
          </a:r>
        </a:p>
      </xdr:txBody>
    </xdr:sp>
    <xdr:clientData/>
  </xdr:oneCellAnchor>
  <xdr:twoCellAnchor>
    <xdr:from>
      <xdr:col>11</xdr:col>
      <xdr:colOff>9524</xdr:colOff>
      <xdr:row>24</xdr:row>
      <xdr:rowOff>23812</xdr:rowOff>
    </xdr:from>
    <xdr:to>
      <xdr:col>11</xdr:col>
      <xdr:colOff>314324</xdr:colOff>
      <xdr:row>24</xdr:row>
      <xdr:rowOff>180975</xdr:rowOff>
    </xdr:to>
    <xdr:cxnSp macro="">
      <xdr:nvCxnSpPr>
        <xdr:cNvPr id="104" name="Прямая со стрелкой 103">
          <a:extLst>
            <a:ext uri="{FF2B5EF4-FFF2-40B4-BE49-F238E27FC236}">
              <a16:creationId xmlns:a16="http://schemas.microsoft.com/office/drawing/2014/main" id="{DB92FFFF-EB89-3AB5-CBD2-9BFD1EBDE5A0}"/>
            </a:ext>
          </a:extLst>
        </xdr:cNvPr>
        <xdr:cNvCxnSpPr>
          <a:stCxn id="6" idx="2"/>
          <a:endCxn id="41" idx="6"/>
        </xdr:cNvCxnSpPr>
      </xdr:nvCxnSpPr>
      <xdr:spPr>
        <a:xfrm flipH="1">
          <a:off x="7677149" y="4843462"/>
          <a:ext cx="304800" cy="157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57150</xdr:colOff>
      <xdr:row>22</xdr:row>
      <xdr:rowOff>152400</xdr:rowOff>
    </xdr:from>
    <xdr:ext cx="275653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DB6F29C-7CB0-AFE3-2BA7-CC3AF05B510E}"/>
            </a:ext>
          </a:extLst>
        </xdr:cNvPr>
        <xdr:cNvSpPr txBox="1"/>
      </xdr:nvSpPr>
      <xdr:spPr>
        <a:xfrm>
          <a:off x="7724775" y="45910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twoCellAnchor>
    <xdr:from>
      <xdr:col>10</xdr:col>
      <xdr:colOff>300037</xdr:colOff>
      <xdr:row>6</xdr:row>
      <xdr:rowOff>66675</xdr:rowOff>
    </xdr:from>
    <xdr:to>
      <xdr:col>14</xdr:col>
      <xdr:colOff>419100</xdr:colOff>
      <xdr:row>23</xdr:row>
      <xdr:rowOff>85725</xdr:rowOff>
    </xdr:to>
    <xdr:cxnSp macro="">
      <xdr:nvCxnSpPr>
        <xdr:cNvPr id="107" name="Прямая со стрелкой 106">
          <a:extLst>
            <a:ext uri="{FF2B5EF4-FFF2-40B4-BE49-F238E27FC236}">
              <a16:creationId xmlns:a16="http://schemas.microsoft.com/office/drawing/2014/main" id="{28B4BDC4-96F1-7924-62B6-039BBE14F613}"/>
            </a:ext>
          </a:extLst>
        </xdr:cNvPr>
        <xdr:cNvCxnSpPr>
          <a:stCxn id="28" idx="4"/>
          <a:endCxn id="41" idx="0"/>
        </xdr:cNvCxnSpPr>
      </xdr:nvCxnSpPr>
      <xdr:spPr>
        <a:xfrm flipH="1">
          <a:off x="7358062" y="1457325"/>
          <a:ext cx="2557463" cy="325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123825</xdr:colOff>
      <xdr:row>5</xdr:row>
      <xdr:rowOff>171450</xdr:rowOff>
    </xdr:from>
    <xdr:ext cx="275653" cy="31149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8118B67-F60C-78C9-C014-ACBCD303F5C7}"/>
            </a:ext>
          </a:extLst>
        </xdr:cNvPr>
        <xdr:cNvSpPr txBox="1"/>
      </xdr:nvSpPr>
      <xdr:spPr>
        <a:xfrm>
          <a:off x="9620250" y="13716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twoCellAnchor>
    <xdr:from>
      <xdr:col>8</xdr:col>
      <xdr:colOff>516381</xdr:colOff>
      <xdr:row>22</xdr:row>
      <xdr:rowOff>140960</xdr:rowOff>
    </xdr:from>
    <xdr:to>
      <xdr:col>9</xdr:col>
      <xdr:colOff>590549</xdr:colOff>
      <xdr:row>24</xdr:row>
      <xdr:rowOff>180975</xdr:rowOff>
    </xdr:to>
    <xdr:cxnSp macro="">
      <xdr:nvCxnSpPr>
        <xdr:cNvPr id="112" name="Прямая со стрелкой 111">
          <a:extLst>
            <a:ext uri="{FF2B5EF4-FFF2-40B4-BE49-F238E27FC236}">
              <a16:creationId xmlns:a16="http://schemas.microsoft.com/office/drawing/2014/main" id="{DD891F43-DAAB-6812-04C2-835BB4F43745}"/>
            </a:ext>
          </a:extLst>
        </xdr:cNvPr>
        <xdr:cNvCxnSpPr>
          <a:stCxn id="40" idx="5"/>
          <a:endCxn id="41" idx="2"/>
        </xdr:cNvCxnSpPr>
      </xdr:nvCxnSpPr>
      <xdr:spPr>
        <a:xfrm>
          <a:off x="6355206" y="4579610"/>
          <a:ext cx="683768" cy="4210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19050</xdr:colOff>
      <xdr:row>22</xdr:row>
      <xdr:rowOff>19050</xdr:rowOff>
    </xdr:from>
    <xdr:ext cx="275653" cy="311496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6B89D3A-D7A7-C7FC-5DCD-DA5E045838FB}"/>
            </a:ext>
          </a:extLst>
        </xdr:cNvPr>
        <xdr:cNvSpPr txBox="1"/>
      </xdr:nvSpPr>
      <xdr:spPr>
        <a:xfrm>
          <a:off x="6467475" y="44577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twoCellAnchor>
    <xdr:from>
      <xdr:col>8</xdr:col>
      <xdr:colOff>600075</xdr:colOff>
      <xdr:row>16</xdr:row>
      <xdr:rowOff>185796</xdr:rowOff>
    </xdr:from>
    <xdr:to>
      <xdr:col>14</xdr:col>
      <xdr:colOff>247253</xdr:colOff>
      <xdr:row>21</xdr:row>
      <xdr:rowOff>142875</xdr:rowOff>
    </xdr:to>
    <xdr:cxnSp macro="">
      <xdr:nvCxnSpPr>
        <xdr:cNvPr id="122" name="Прямая со стрелкой 121">
          <a:extLst>
            <a:ext uri="{FF2B5EF4-FFF2-40B4-BE49-F238E27FC236}">
              <a16:creationId xmlns:a16="http://schemas.microsoft.com/office/drawing/2014/main" id="{3B5F12BC-1115-773B-ED12-7A200B1990D6}"/>
            </a:ext>
          </a:extLst>
        </xdr:cNvPr>
        <xdr:cNvCxnSpPr>
          <a:stCxn id="40" idx="6"/>
          <a:endCxn id="43" idx="3"/>
        </xdr:cNvCxnSpPr>
      </xdr:nvCxnSpPr>
      <xdr:spPr>
        <a:xfrm flipV="1">
          <a:off x="6438900" y="3481446"/>
          <a:ext cx="3304778" cy="9095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</xdr:colOff>
      <xdr:row>16</xdr:row>
      <xdr:rowOff>133350</xdr:rowOff>
    </xdr:from>
    <xdr:ext cx="275653" cy="31149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6BF97D3-0CD0-195E-6418-2BC2C0417A72}"/>
            </a:ext>
          </a:extLst>
        </xdr:cNvPr>
        <xdr:cNvSpPr txBox="1"/>
      </xdr:nvSpPr>
      <xdr:spPr>
        <a:xfrm>
          <a:off x="8905875" y="34290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4</a:t>
          </a:r>
        </a:p>
      </xdr:txBody>
    </xdr:sp>
    <xdr:clientData/>
  </xdr:oneCellAnchor>
  <xdr:twoCellAnchor>
    <xdr:from>
      <xdr:col>8</xdr:col>
      <xdr:colOff>600075</xdr:colOff>
      <xdr:row>11</xdr:row>
      <xdr:rowOff>42921</xdr:rowOff>
    </xdr:from>
    <xdr:to>
      <xdr:col>15</xdr:col>
      <xdr:colOff>515347</xdr:colOff>
      <xdr:row>21</xdr:row>
      <xdr:rowOff>142875</xdr:rowOff>
    </xdr:to>
    <xdr:cxnSp macro="">
      <xdr:nvCxnSpPr>
        <xdr:cNvPr id="126" name="Прямая со стрелкой 125">
          <a:extLst>
            <a:ext uri="{FF2B5EF4-FFF2-40B4-BE49-F238E27FC236}">
              <a16:creationId xmlns:a16="http://schemas.microsoft.com/office/drawing/2014/main" id="{E1BFD484-D5FE-126A-9B82-D4A93322F132}"/>
            </a:ext>
          </a:extLst>
        </xdr:cNvPr>
        <xdr:cNvCxnSpPr>
          <a:stCxn id="40" idx="6"/>
          <a:endCxn id="45" idx="3"/>
        </xdr:cNvCxnSpPr>
      </xdr:nvCxnSpPr>
      <xdr:spPr>
        <a:xfrm flipV="1">
          <a:off x="6438900" y="2386071"/>
          <a:ext cx="4182472" cy="20049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171449</xdr:colOff>
      <xdr:row>25</xdr:row>
      <xdr:rowOff>142875</xdr:rowOff>
    </xdr:from>
    <xdr:to>
      <xdr:col>10</xdr:col>
      <xdr:colOff>74408</xdr:colOff>
      <xdr:row>26</xdr:row>
      <xdr:rowOff>2031</xdr:rowOff>
    </xdr:to>
    <xdr:cxnSp macro="">
      <xdr:nvCxnSpPr>
        <xdr:cNvPr id="128" name="Прямая со стрелкой 127">
          <a:extLst>
            <a:ext uri="{FF2B5EF4-FFF2-40B4-BE49-F238E27FC236}">
              <a16:creationId xmlns:a16="http://schemas.microsoft.com/office/drawing/2014/main" id="{8398A7B7-3D12-0ABB-AC0D-DEE583114E04}"/>
            </a:ext>
          </a:extLst>
        </xdr:cNvPr>
        <xdr:cNvCxnSpPr>
          <a:stCxn id="41" idx="3"/>
          <a:endCxn id="42" idx="6"/>
        </xdr:cNvCxnSpPr>
      </xdr:nvCxnSpPr>
      <xdr:spPr>
        <a:xfrm flipH="1" flipV="1">
          <a:off x="6619874" y="5153025"/>
          <a:ext cx="512559" cy="49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19049</xdr:colOff>
      <xdr:row>11</xdr:row>
      <xdr:rowOff>42921</xdr:rowOff>
    </xdr:from>
    <xdr:to>
      <xdr:col>15</xdr:col>
      <xdr:colOff>515347</xdr:colOff>
      <xdr:row>17</xdr:row>
      <xdr:rowOff>85725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99C69533-2C85-804D-4B20-D17DD237C6D9}"/>
            </a:ext>
          </a:extLst>
        </xdr:cNvPr>
        <xdr:cNvCxnSpPr>
          <a:stCxn id="44" idx="6"/>
          <a:endCxn id="45" idx="3"/>
        </xdr:cNvCxnSpPr>
      </xdr:nvCxnSpPr>
      <xdr:spPr>
        <a:xfrm flipV="1">
          <a:off x="6467474" y="2386071"/>
          <a:ext cx="4153898" cy="11858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504825</xdr:colOff>
      <xdr:row>15</xdr:row>
      <xdr:rowOff>85725</xdr:rowOff>
    </xdr:from>
    <xdr:ext cx="275653" cy="31149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45730C0-B5CF-0843-867B-57818A56A5DC}"/>
            </a:ext>
          </a:extLst>
        </xdr:cNvPr>
        <xdr:cNvSpPr txBox="1"/>
      </xdr:nvSpPr>
      <xdr:spPr>
        <a:xfrm>
          <a:off x="6343650" y="31908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9</xdr:row>
      <xdr:rowOff>57150</xdr:rowOff>
    </xdr:from>
    <xdr:to>
      <xdr:col>11</xdr:col>
      <xdr:colOff>57150</xdr:colOff>
      <xdr:row>12</xdr:row>
      <xdr:rowOff>19050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2E90CE64-D72F-43C9-8E2D-C1FF1D6B887D}"/>
            </a:ext>
          </a:extLst>
        </xdr:cNvPr>
        <xdr:cNvSpPr/>
      </xdr:nvSpPr>
      <xdr:spPr>
        <a:xfrm>
          <a:off x="7762875" y="220980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1</a:t>
          </a:r>
        </a:p>
      </xdr:txBody>
    </xdr:sp>
    <xdr:clientData/>
  </xdr:twoCellAnchor>
  <xdr:twoCellAnchor>
    <xdr:from>
      <xdr:col>11</xdr:col>
      <xdr:colOff>285750</xdr:colOff>
      <xdr:row>4</xdr:row>
      <xdr:rowOff>47625</xdr:rowOff>
    </xdr:from>
    <xdr:to>
      <xdr:col>12</xdr:col>
      <xdr:colOff>247650</xdr:colOff>
      <xdr:row>7</xdr:row>
      <xdr:rowOff>9525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0BB24D96-847F-41EC-95C9-D5F3B0EAA825}"/>
            </a:ext>
          </a:extLst>
        </xdr:cNvPr>
        <xdr:cNvSpPr/>
      </xdr:nvSpPr>
      <xdr:spPr>
        <a:xfrm>
          <a:off x="8562975" y="124777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2</a:t>
          </a:r>
        </a:p>
      </xdr:txBody>
    </xdr:sp>
    <xdr:clientData/>
  </xdr:twoCellAnchor>
  <xdr:twoCellAnchor>
    <xdr:from>
      <xdr:col>13</xdr:col>
      <xdr:colOff>352425</xdr:colOff>
      <xdr:row>2</xdr:row>
      <xdr:rowOff>19050</xdr:rowOff>
    </xdr:from>
    <xdr:to>
      <xdr:col>14</xdr:col>
      <xdr:colOff>314325</xdr:colOff>
      <xdr:row>4</xdr:row>
      <xdr:rowOff>171450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52B358D2-24DB-48FC-A5B5-4A3A056F6411}"/>
            </a:ext>
          </a:extLst>
        </xdr:cNvPr>
        <xdr:cNvSpPr/>
      </xdr:nvSpPr>
      <xdr:spPr>
        <a:xfrm>
          <a:off x="9848850" y="83820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3</a:t>
          </a:r>
        </a:p>
      </xdr:txBody>
    </xdr:sp>
    <xdr:clientData/>
  </xdr:twoCellAnchor>
  <xdr:twoCellAnchor>
    <xdr:from>
      <xdr:col>16</xdr:col>
      <xdr:colOff>85725</xdr:colOff>
      <xdr:row>4</xdr:row>
      <xdr:rowOff>114300</xdr:rowOff>
    </xdr:from>
    <xdr:to>
      <xdr:col>17</xdr:col>
      <xdr:colOff>47625</xdr:colOff>
      <xdr:row>7</xdr:row>
      <xdr:rowOff>76200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AAE0C09B-A57C-4023-BD11-8DEC3C490E99}"/>
            </a:ext>
          </a:extLst>
        </xdr:cNvPr>
        <xdr:cNvSpPr/>
      </xdr:nvSpPr>
      <xdr:spPr>
        <a:xfrm>
          <a:off x="11410950" y="131445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6</a:t>
          </a:r>
        </a:p>
      </xdr:txBody>
    </xdr:sp>
    <xdr:clientData/>
  </xdr:twoCellAnchor>
  <xdr:twoCellAnchor>
    <xdr:from>
      <xdr:col>17</xdr:col>
      <xdr:colOff>257175</xdr:colOff>
      <xdr:row>8</xdr:row>
      <xdr:rowOff>171450</xdr:rowOff>
    </xdr:from>
    <xdr:to>
      <xdr:col>18</xdr:col>
      <xdr:colOff>219075</xdr:colOff>
      <xdr:row>11</xdr:row>
      <xdr:rowOff>133350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6B1C83AA-4199-4B85-87D6-3D42258444AE}"/>
            </a:ext>
          </a:extLst>
        </xdr:cNvPr>
        <xdr:cNvSpPr/>
      </xdr:nvSpPr>
      <xdr:spPr>
        <a:xfrm>
          <a:off x="12192000" y="213360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7</a:t>
          </a:r>
        </a:p>
      </xdr:txBody>
    </xdr:sp>
    <xdr:clientData/>
  </xdr:twoCellAnchor>
  <xdr:twoCellAnchor>
    <xdr:from>
      <xdr:col>14</xdr:col>
      <xdr:colOff>0</xdr:colOff>
      <xdr:row>9</xdr:row>
      <xdr:rowOff>38100</xdr:rowOff>
    </xdr:from>
    <xdr:to>
      <xdr:col>14</xdr:col>
      <xdr:colOff>571500</xdr:colOff>
      <xdr:row>12</xdr:row>
      <xdr:rowOff>0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8BEDB9D4-18E4-4E7D-9E6A-53ACFB686E55}"/>
            </a:ext>
          </a:extLst>
        </xdr:cNvPr>
        <xdr:cNvSpPr/>
      </xdr:nvSpPr>
      <xdr:spPr>
        <a:xfrm>
          <a:off x="10106025" y="2190750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4</a:t>
          </a:r>
        </a:p>
      </xdr:txBody>
    </xdr:sp>
    <xdr:clientData/>
  </xdr:twoCellAnchor>
  <xdr:twoCellAnchor>
    <xdr:from>
      <xdr:col>15</xdr:col>
      <xdr:colOff>152400</xdr:colOff>
      <xdr:row>14</xdr:row>
      <xdr:rowOff>47625</xdr:rowOff>
    </xdr:from>
    <xdr:to>
      <xdr:col>16</xdr:col>
      <xdr:colOff>114300</xdr:colOff>
      <xdr:row>17</xdr:row>
      <xdr:rowOff>9525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2417CECB-44E0-4081-80F5-093531883F9D}"/>
            </a:ext>
          </a:extLst>
        </xdr:cNvPr>
        <xdr:cNvSpPr/>
      </xdr:nvSpPr>
      <xdr:spPr>
        <a:xfrm>
          <a:off x="10868025" y="3152775"/>
          <a:ext cx="5715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 5</a:t>
          </a:r>
        </a:p>
      </xdr:txBody>
    </xdr:sp>
    <xdr:clientData/>
  </xdr:twoCellAnchor>
  <xdr:twoCellAnchor>
    <xdr:from>
      <xdr:col>10</xdr:col>
      <xdr:colOff>583056</xdr:colOff>
      <xdr:row>11</xdr:row>
      <xdr:rowOff>131435</xdr:rowOff>
    </xdr:from>
    <xdr:to>
      <xdr:col>15</xdr:col>
      <xdr:colOff>152400</xdr:colOff>
      <xdr:row>15</xdr:row>
      <xdr:rowOff>123825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C0115180-2CDA-4765-9930-FC15FE09BF28}"/>
            </a:ext>
          </a:extLst>
        </xdr:cNvPr>
        <xdr:cNvCxnSpPr>
          <a:stCxn id="32" idx="5"/>
          <a:endCxn id="38" idx="2"/>
        </xdr:cNvCxnSpPr>
      </xdr:nvCxnSpPr>
      <xdr:spPr>
        <a:xfrm>
          <a:off x="8250681" y="2665085"/>
          <a:ext cx="2617344" cy="75439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583056</xdr:colOff>
      <xdr:row>6</xdr:row>
      <xdr:rowOff>121910</xdr:rowOff>
    </xdr:from>
    <xdr:to>
      <xdr:col>11</xdr:col>
      <xdr:colOff>369444</xdr:colOff>
      <xdr:row>9</xdr:row>
      <xdr:rowOff>135265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311DA309-00B1-4788-B0BA-66F1C1286408}"/>
            </a:ext>
          </a:extLst>
        </xdr:cNvPr>
        <xdr:cNvCxnSpPr>
          <a:stCxn id="32" idx="7"/>
          <a:endCxn id="33" idx="3"/>
        </xdr:cNvCxnSpPr>
      </xdr:nvCxnSpPr>
      <xdr:spPr>
        <a:xfrm flipV="1">
          <a:off x="8250681" y="1703060"/>
          <a:ext cx="395988" cy="5848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163956</xdr:colOff>
      <xdr:row>3</xdr:row>
      <xdr:rowOff>95250</xdr:rowOff>
    </xdr:from>
    <xdr:to>
      <xdr:col>13</xdr:col>
      <xdr:colOff>352425</xdr:colOff>
      <xdr:row>4</xdr:row>
      <xdr:rowOff>125740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914C94D9-CD4B-4A78-B7B0-6AAC9EAE9905}"/>
            </a:ext>
          </a:extLst>
        </xdr:cNvPr>
        <xdr:cNvCxnSpPr>
          <a:stCxn id="33" idx="7"/>
          <a:endCxn id="34" idx="2"/>
        </xdr:cNvCxnSpPr>
      </xdr:nvCxnSpPr>
      <xdr:spPr>
        <a:xfrm flipV="1">
          <a:off x="9050781" y="1104900"/>
          <a:ext cx="798069" cy="2209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314325</xdr:colOff>
      <xdr:row>3</xdr:row>
      <xdr:rowOff>95250</xdr:rowOff>
    </xdr:from>
    <xdr:to>
      <xdr:col>16</xdr:col>
      <xdr:colOff>169419</xdr:colOff>
      <xdr:row>5</xdr:row>
      <xdr:rowOff>1915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62408889-BD91-4D91-8E4E-2735DF69D6A4}"/>
            </a:ext>
          </a:extLst>
        </xdr:cNvPr>
        <xdr:cNvCxnSpPr>
          <a:stCxn id="34" idx="6"/>
          <a:endCxn id="35" idx="1"/>
        </xdr:cNvCxnSpPr>
      </xdr:nvCxnSpPr>
      <xdr:spPr>
        <a:xfrm>
          <a:off x="10420350" y="1104900"/>
          <a:ext cx="1074294" cy="2876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573531</xdr:colOff>
      <xdr:row>6</xdr:row>
      <xdr:rowOff>188585</xdr:rowOff>
    </xdr:from>
    <xdr:to>
      <xdr:col>17</xdr:col>
      <xdr:colOff>340869</xdr:colOff>
      <xdr:row>9</xdr:row>
      <xdr:rowOff>59065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DDC3AB67-65BA-4000-BEE6-B96FFA78D2F4}"/>
            </a:ext>
          </a:extLst>
        </xdr:cNvPr>
        <xdr:cNvCxnSpPr>
          <a:stCxn id="35" idx="5"/>
          <a:endCxn id="36" idx="1"/>
        </xdr:cNvCxnSpPr>
      </xdr:nvCxnSpPr>
      <xdr:spPr>
        <a:xfrm>
          <a:off x="11898756" y="1769735"/>
          <a:ext cx="376938" cy="44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10</xdr:row>
      <xdr:rowOff>114300</xdr:rowOff>
    </xdr:from>
    <xdr:to>
      <xdr:col>14</xdr:col>
      <xdr:colOff>0</xdr:colOff>
      <xdr:row>10</xdr:row>
      <xdr:rowOff>133350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668A1F68-AF3A-42F7-A9CA-DA13D1F6A7A6}"/>
            </a:ext>
          </a:extLst>
        </xdr:cNvPr>
        <xdr:cNvCxnSpPr>
          <a:stCxn id="32" idx="6"/>
          <a:endCxn id="37" idx="2"/>
        </xdr:cNvCxnSpPr>
      </xdr:nvCxnSpPr>
      <xdr:spPr>
        <a:xfrm flipV="1">
          <a:off x="8334375" y="2457450"/>
          <a:ext cx="17716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487806</xdr:colOff>
      <xdr:row>6</xdr:row>
      <xdr:rowOff>188585</xdr:rowOff>
    </xdr:from>
    <xdr:to>
      <xdr:col>16</xdr:col>
      <xdr:colOff>169419</xdr:colOff>
      <xdr:row>9</xdr:row>
      <xdr:rowOff>116215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41DE312E-BC59-4439-A1D1-EB56E49300B5}"/>
            </a:ext>
          </a:extLst>
        </xdr:cNvPr>
        <xdr:cNvCxnSpPr>
          <a:stCxn id="37" idx="7"/>
          <a:endCxn id="35" idx="3"/>
        </xdr:cNvCxnSpPr>
      </xdr:nvCxnSpPr>
      <xdr:spPr>
        <a:xfrm flipV="1">
          <a:off x="10593831" y="1769735"/>
          <a:ext cx="900813" cy="499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11</xdr:row>
      <xdr:rowOff>55235</xdr:rowOff>
    </xdr:from>
    <xdr:to>
      <xdr:col>17</xdr:col>
      <xdr:colOff>340869</xdr:colOff>
      <xdr:row>15</xdr:row>
      <xdr:rowOff>123825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10A4001F-0303-47D1-9F99-93EDF378B239}"/>
            </a:ext>
          </a:extLst>
        </xdr:cNvPr>
        <xdr:cNvCxnSpPr>
          <a:stCxn id="38" idx="6"/>
          <a:endCxn id="36" idx="3"/>
        </xdr:cNvCxnSpPr>
      </xdr:nvCxnSpPr>
      <xdr:spPr>
        <a:xfrm flipV="1">
          <a:off x="11439525" y="2588885"/>
          <a:ext cx="836169" cy="83059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10</xdr:row>
      <xdr:rowOff>57150</xdr:rowOff>
    </xdr:from>
    <xdr:to>
      <xdr:col>17</xdr:col>
      <xdr:colOff>257175</xdr:colOff>
      <xdr:row>10</xdr:row>
      <xdr:rowOff>114300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02E22576-7266-43B3-8C56-54C9454D72EC}"/>
            </a:ext>
          </a:extLst>
        </xdr:cNvPr>
        <xdr:cNvCxnSpPr>
          <a:stCxn id="37" idx="6"/>
          <a:endCxn id="36" idx="2"/>
        </xdr:cNvCxnSpPr>
      </xdr:nvCxnSpPr>
      <xdr:spPr>
        <a:xfrm flipV="1">
          <a:off x="10677525" y="2400300"/>
          <a:ext cx="1514475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4</xdr:row>
      <xdr:rowOff>171450</xdr:rowOff>
    </xdr:from>
    <xdr:to>
      <xdr:col>14</xdr:col>
      <xdr:colOff>285750</xdr:colOff>
      <xdr:row>9</xdr:row>
      <xdr:rowOff>38100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136123B8-6CFD-45CE-9771-56C3E464861D}"/>
            </a:ext>
          </a:extLst>
        </xdr:cNvPr>
        <xdr:cNvCxnSpPr>
          <a:stCxn id="34" idx="4"/>
          <a:endCxn id="37" idx="0"/>
        </xdr:cNvCxnSpPr>
      </xdr:nvCxnSpPr>
      <xdr:spPr>
        <a:xfrm>
          <a:off x="10134600" y="1371600"/>
          <a:ext cx="257175" cy="819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438150</xdr:colOff>
      <xdr:row>6</xdr:row>
      <xdr:rowOff>142875</xdr:rowOff>
    </xdr:from>
    <xdr:ext cx="275653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C220E2F-E2B6-446D-B0D1-F15CB0C538E5}"/>
            </a:ext>
          </a:extLst>
        </xdr:cNvPr>
        <xdr:cNvSpPr txBox="1"/>
      </xdr:nvSpPr>
      <xdr:spPr>
        <a:xfrm>
          <a:off x="8105775" y="17240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5</a:t>
          </a:r>
        </a:p>
      </xdr:txBody>
    </xdr:sp>
    <xdr:clientData/>
  </xdr:oneCellAnchor>
  <xdr:oneCellAnchor>
    <xdr:from>
      <xdr:col>15</xdr:col>
      <xdr:colOff>171450</xdr:colOff>
      <xdr:row>2</xdr:row>
      <xdr:rowOff>114300</xdr:rowOff>
    </xdr:from>
    <xdr:ext cx="275653" cy="31149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2B6963A-C378-4352-AED0-C0F574162384}"/>
            </a:ext>
          </a:extLst>
        </xdr:cNvPr>
        <xdr:cNvSpPr txBox="1"/>
      </xdr:nvSpPr>
      <xdr:spPr>
        <a:xfrm>
          <a:off x="10887075" y="9334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oneCellAnchor>
    <xdr:from>
      <xdr:col>12</xdr:col>
      <xdr:colOff>381000</xdr:colOff>
      <xdr:row>2</xdr:row>
      <xdr:rowOff>47625</xdr:rowOff>
    </xdr:from>
    <xdr:ext cx="275653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0A76E8B-9E8B-4EFC-B81D-F894795A820E}"/>
            </a:ext>
          </a:extLst>
        </xdr:cNvPr>
        <xdr:cNvSpPr txBox="1"/>
      </xdr:nvSpPr>
      <xdr:spPr>
        <a:xfrm>
          <a:off x="9267825" y="8667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15</xdr:col>
      <xdr:colOff>533400</xdr:colOff>
      <xdr:row>8</xdr:row>
      <xdr:rowOff>161925</xdr:rowOff>
    </xdr:from>
    <xdr:ext cx="275653" cy="31149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CAF4C27-EBDB-42FE-A49D-3CC487A735E9}"/>
            </a:ext>
          </a:extLst>
        </xdr:cNvPr>
        <xdr:cNvSpPr txBox="1"/>
      </xdr:nvSpPr>
      <xdr:spPr>
        <a:xfrm>
          <a:off x="11249025" y="21240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7</a:t>
          </a:r>
        </a:p>
      </xdr:txBody>
    </xdr:sp>
    <xdr:clientData/>
  </xdr:oneCellAnchor>
  <xdr:oneCellAnchor>
    <xdr:from>
      <xdr:col>17</xdr:col>
      <xdr:colOff>180975</xdr:colOff>
      <xdr:row>6</xdr:row>
      <xdr:rowOff>95250</xdr:rowOff>
    </xdr:from>
    <xdr:ext cx="275653" cy="31149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191DA5B-CD43-49AC-9D12-3EFF34829B64}"/>
            </a:ext>
          </a:extLst>
        </xdr:cNvPr>
        <xdr:cNvSpPr txBox="1"/>
      </xdr:nvSpPr>
      <xdr:spPr>
        <a:xfrm>
          <a:off x="12115800" y="167640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5</a:t>
          </a:r>
        </a:p>
      </xdr:txBody>
    </xdr:sp>
    <xdr:clientData/>
  </xdr:oneCellAnchor>
  <xdr:oneCellAnchor>
    <xdr:from>
      <xdr:col>16</xdr:col>
      <xdr:colOff>552450</xdr:colOff>
      <xdr:row>13</xdr:row>
      <xdr:rowOff>123825</xdr:rowOff>
    </xdr:from>
    <xdr:ext cx="275653" cy="31149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09CBD91-E475-4538-9A27-6D893F336278}"/>
            </a:ext>
          </a:extLst>
        </xdr:cNvPr>
        <xdr:cNvSpPr txBox="1"/>
      </xdr:nvSpPr>
      <xdr:spPr>
        <a:xfrm>
          <a:off x="11877675" y="30384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12</xdr:col>
      <xdr:colOff>485775</xdr:colOff>
      <xdr:row>13</xdr:row>
      <xdr:rowOff>114300</xdr:rowOff>
    </xdr:from>
    <xdr:ext cx="275653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0485F81-6F1F-426B-BE2F-4FE3AE85ED43}"/>
            </a:ext>
          </a:extLst>
        </xdr:cNvPr>
        <xdr:cNvSpPr txBox="1"/>
      </xdr:nvSpPr>
      <xdr:spPr>
        <a:xfrm>
          <a:off x="9372600" y="30289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3</a:t>
          </a:r>
        </a:p>
      </xdr:txBody>
    </xdr:sp>
    <xdr:clientData/>
  </xdr:oneCellAnchor>
  <xdr:oneCellAnchor>
    <xdr:from>
      <xdr:col>12</xdr:col>
      <xdr:colOff>219075</xdr:colOff>
      <xdr:row>9</xdr:row>
      <xdr:rowOff>0</xdr:rowOff>
    </xdr:from>
    <xdr:ext cx="275653" cy="31149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137D09B-9805-499A-8D61-8EF22969011E}"/>
            </a:ext>
          </a:extLst>
        </xdr:cNvPr>
        <xdr:cNvSpPr txBox="1"/>
      </xdr:nvSpPr>
      <xdr:spPr>
        <a:xfrm>
          <a:off x="9105900" y="21526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2</a:t>
          </a:r>
        </a:p>
      </xdr:txBody>
    </xdr:sp>
    <xdr:clientData/>
  </xdr:oneCellAnchor>
  <xdr:oneCellAnchor>
    <xdr:from>
      <xdr:col>15</xdr:col>
      <xdr:colOff>133350</xdr:colOff>
      <xdr:row>6</xdr:row>
      <xdr:rowOff>114300</xdr:rowOff>
    </xdr:from>
    <xdr:ext cx="275653" cy="31149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301F151-4EB0-4B50-881B-0BD037C3C8F2}"/>
            </a:ext>
          </a:extLst>
        </xdr:cNvPr>
        <xdr:cNvSpPr txBox="1"/>
      </xdr:nvSpPr>
      <xdr:spPr>
        <a:xfrm>
          <a:off x="10848975" y="169545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4</a:t>
          </a:r>
        </a:p>
      </xdr:txBody>
    </xdr:sp>
    <xdr:clientData/>
  </xdr:oneCellAnchor>
  <xdr:oneCellAnchor>
    <xdr:from>
      <xdr:col>13</xdr:col>
      <xdr:colOff>447675</xdr:colOff>
      <xdr:row>5</xdr:row>
      <xdr:rowOff>180975</xdr:rowOff>
    </xdr:from>
    <xdr:ext cx="275653" cy="31149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057D4B0-65FD-4851-9878-61DA704D3A89}"/>
            </a:ext>
          </a:extLst>
        </xdr:cNvPr>
        <xdr:cNvSpPr txBox="1"/>
      </xdr:nvSpPr>
      <xdr:spPr>
        <a:xfrm>
          <a:off x="9944100" y="15716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6" sqref="J6"/>
    </sheetView>
  </sheetViews>
  <sheetFormatPr defaultRowHeight="15" x14ac:dyDescent="0.25"/>
  <cols>
    <col min="1" max="2" width="11.140625" customWidth="1"/>
    <col min="3" max="3" width="12.140625" customWidth="1"/>
    <col min="6" max="6" width="12.28515625" customWidth="1"/>
    <col min="7" max="7" width="13.42578125" customWidth="1"/>
  </cols>
  <sheetData>
    <row r="1" spans="1:7" x14ac:dyDescent="0.25">
      <c r="A1" s="10" t="s">
        <v>0</v>
      </c>
      <c r="B1" s="11"/>
      <c r="C1" s="11"/>
      <c r="D1" s="11"/>
    </row>
    <row r="2" spans="1:7" ht="34.5" customHeight="1" x14ac:dyDescent="0.25">
      <c r="A2" s="1" t="s">
        <v>1</v>
      </c>
      <c r="B2" s="1" t="s">
        <v>2</v>
      </c>
      <c r="C2" s="1" t="s">
        <v>10</v>
      </c>
      <c r="D2" s="1" t="s">
        <v>11</v>
      </c>
      <c r="F2" s="7" t="s">
        <v>4</v>
      </c>
      <c r="G2" s="2" t="s">
        <v>5</v>
      </c>
    </row>
    <row r="3" spans="1:7" x14ac:dyDescent="0.25">
      <c r="A3" s="1">
        <v>1</v>
      </c>
      <c r="B3" s="1">
        <v>2</v>
      </c>
      <c r="C3" s="1">
        <v>2</v>
      </c>
      <c r="D3" s="1">
        <v>2</v>
      </c>
      <c r="F3" s="3"/>
      <c r="G3" s="3">
        <f>C3+C6+C8+C12</f>
        <v>3</v>
      </c>
    </row>
    <row r="4" spans="1:7" x14ac:dyDescent="0.25">
      <c r="A4" s="1">
        <v>1</v>
      </c>
      <c r="B4" s="1">
        <v>3</v>
      </c>
      <c r="C4" s="1">
        <v>7</v>
      </c>
      <c r="D4" s="1">
        <v>1</v>
      </c>
      <c r="F4" s="3"/>
      <c r="G4" s="3">
        <f>C3+C6+C7+C10</f>
        <v>3</v>
      </c>
    </row>
    <row r="5" spans="1:7" x14ac:dyDescent="0.25">
      <c r="A5" s="1">
        <v>1</v>
      </c>
      <c r="B5" s="1">
        <v>5</v>
      </c>
      <c r="C5" s="1">
        <v>7</v>
      </c>
      <c r="D5" s="1">
        <v>7</v>
      </c>
      <c r="F5" s="3"/>
      <c r="G5" s="3">
        <f>C3+C6+C7+C9+C12</f>
        <v>3</v>
      </c>
    </row>
    <row r="6" spans="1:7" x14ac:dyDescent="0.25">
      <c r="A6" s="1">
        <v>1</v>
      </c>
      <c r="B6" s="1">
        <v>13</v>
      </c>
      <c r="C6" s="1">
        <v>1</v>
      </c>
      <c r="D6" s="1">
        <v>1</v>
      </c>
      <c r="F6" s="4"/>
      <c r="G6" s="3">
        <f>C4+C10</f>
        <v>7</v>
      </c>
    </row>
    <row r="7" spans="1:7" x14ac:dyDescent="0.25">
      <c r="A7" s="1"/>
      <c r="B7" s="1"/>
      <c r="C7" s="1"/>
      <c r="D7" s="1"/>
      <c r="F7" s="3"/>
      <c r="G7" s="3">
        <f>C4+C9+C12</f>
        <v>7</v>
      </c>
    </row>
    <row r="8" spans="1:7" x14ac:dyDescent="0.25">
      <c r="A8" s="1"/>
      <c r="B8" s="1"/>
      <c r="C8" s="1"/>
      <c r="D8" s="1"/>
      <c r="F8" s="4"/>
      <c r="G8" s="3">
        <f>C5+C11</f>
        <v>7</v>
      </c>
    </row>
    <row r="9" spans="1:7" x14ac:dyDescent="0.25">
      <c r="A9" s="1"/>
      <c r="B9" s="1"/>
      <c r="C9" s="1"/>
      <c r="D9" s="1"/>
      <c r="F9" s="3"/>
      <c r="G9" s="3"/>
    </row>
    <row r="10" spans="1:7" x14ac:dyDescent="0.25">
      <c r="A10" s="1"/>
      <c r="B10" s="1"/>
      <c r="C10" s="1"/>
      <c r="D10" s="1"/>
      <c r="F10" s="5" t="s">
        <v>6</v>
      </c>
      <c r="G10" s="6">
        <f>MIN(G3:G8)</f>
        <v>3</v>
      </c>
    </row>
    <row r="11" spans="1:7" x14ac:dyDescent="0.25">
      <c r="A11" s="1"/>
      <c r="B11" s="1"/>
      <c r="C11" s="1"/>
      <c r="D11" s="1"/>
    </row>
    <row r="12" spans="1:7" x14ac:dyDescent="0.25">
      <c r="A12" s="1"/>
      <c r="B12" s="1"/>
      <c r="C12" s="1"/>
      <c r="D12" s="1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342-10AA-4463-BAFD-F188B5C60E06}">
  <dimension ref="A1:F12"/>
  <sheetViews>
    <sheetView workbookViewId="0">
      <selection activeCell="E3" sqref="E3"/>
    </sheetView>
  </sheetViews>
  <sheetFormatPr defaultRowHeight="15" x14ac:dyDescent="0.25"/>
  <cols>
    <col min="1" max="1" width="11.42578125" customWidth="1"/>
    <col min="2" max="2" width="12.28515625" customWidth="1"/>
    <col min="3" max="3" width="11.85546875" customWidth="1"/>
    <col min="4" max="4" width="16" customWidth="1"/>
    <col min="5" max="5" width="14.42578125" customWidth="1"/>
  </cols>
  <sheetData>
    <row r="1" spans="1:6" x14ac:dyDescent="0.25">
      <c r="A1" s="12" t="s">
        <v>0</v>
      </c>
      <c r="B1" s="12"/>
      <c r="C1" s="12"/>
      <c r="D1" s="12"/>
      <c r="E1" s="12"/>
      <c r="F1" s="12"/>
    </row>
    <row r="2" spans="1:6" ht="18" x14ac:dyDescent="0.25">
      <c r="A2" s="1" t="s">
        <v>1</v>
      </c>
      <c r="B2" s="1" t="s">
        <v>2</v>
      </c>
      <c r="C2" s="1" t="s">
        <v>3</v>
      </c>
      <c r="D2" s="7" t="s">
        <v>7</v>
      </c>
      <c r="E2" s="7" t="s">
        <v>8</v>
      </c>
      <c r="F2" s="8" t="s">
        <v>9</v>
      </c>
    </row>
    <row r="3" spans="1:6" x14ac:dyDescent="0.25">
      <c r="A3" s="1">
        <v>1</v>
      </c>
      <c r="B3" s="1">
        <v>2</v>
      </c>
      <c r="C3" s="1">
        <v>5</v>
      </c>
      <c r="D3" s="3">
        <v>0</v>
      </c>
      <c r="E3" s="3">
        <f>D3+D4+D5</f>
        <v>1</v>
      </c>
      <c r="F3" s="9">
        <f>SUMPRODUCT(C3:C12,D3:D12)</f>
        <v>6</v>
      </c>
    </row>
    <row r="4" spans="1:6" x14ac:dyDescent="0.25">
      <c r="A4" s="1">
        <v>1</v>
      </c>
      <c r="B4" s="1">
        <v>4</v>
      </c>
      <c r="C4" s="1">
        <v>2</v>
      </c>
      <c r="D4" s="3">
        <v>0</v>
      </c>
      <c r="E4" s="3">
        <f>D3-D6</f>
        <v>0</v>
      </c>
      <c r="F4" s="9"/>
    </row>
    <row r="5" spans="1:6" x14ac:dyDescent="0.25">
      <c r="A5" s="1">
        <v>1</v>
      </c>
      <c r="B5" s="1">
        <v>5</v>
      </c>
      <c r="C5" s="1">
        <v>3</v>
      </c>
      <c r="D5" s="3">
        <v>1</v>
      </c>
      <c r="E5" s="3">
        <f>D6-D8-D7</f>
        <v>0</v>
      </c>
      <c r="F5" s="9"/>
    </row>
    <row r="6" spans="1:6" x14ac:dyDescent="0.25">
      <c r="A6" s="1">
        <v>2</v>
      </c>
      <c r="B6" s="1">
        <v>3</v>
      </c>
      <c r="C6" s="1">
        <v>3</v>
      </c>
      <c r="D6" s="3">
        <v>0</v>
      </c>
      <c r="E6" s="3">
        <f>D7+D4-D9-D10</f>
        <v>0</v>
      </c>
      <c r="F6" s="9"/>
    </row>
    <row r="7" spans="1:6" x14ac:dyDescent="0.25">
      <c r="A7" s="1">
        <v>3</v>
      </c>
      <c r="B7" s="1">
        <v>4</v>
      </c>
      <c r="C7" s="1">
        <v>5</v>
      </c>
      <c r="D7" s="3">
        <v>0</v>
      </c>
      <c r="E7" s="3">
        <f>D5-D11</f>
        <v>0</v>
      </c>
      <c r="F7" s="9"/>
    </row>
    <row r="8" spans="1:6" x14ac:dyDescent="0.25">
      <c r="A8" s="1">
        <v>3</v>
      </c>
      <c r="B8" s="1">
        <v>6</v>
      </c>
      <c r="C8" s="1">
        <v>2</v>
      </c>
      <c r="D8" s="3">
        <v>0</v>
      </c>
      <c r="E8" s="3">
        <f>D8+D9-D12</f>
        <v>0</v>
      </c>
      <c r="F8" s="9"/>
    </row>
    <row r="9" spans="1:6" x14ac:dyDescent="0.25">
      <c r="A9" s="1">
        <v>4</v>
      </c>
      <c r="B9" s="1">
        <v>6</v>
      </c>
      <c r="C9" s="1">
        <v>4</v>
      </c>
      <c r="D9" s="3">
        <v>0</v>
      </c>
      <c r="E9" s="3">
        <f>D12+D10+D11</f>
        <v>1</v>
      </c>
      <c r="F9" s="9"/>
    </row>
    <row r="10" spans="1:6" x14ac:dyDescent="0.25">
      <c r="A10" s="1">
        <v>4</v>
      </c>
      <c r="B10" s="1">
        <v>7</v>
      </c>
      <c r="C10" s="1">
        <v>7</v>
      </c>
      <c r="D10" s="3">
        <v>0</v>
      </c>
      <c r="E10" s="3"/>
      <c r="F10" s="9"/>
    </row>
    <row r="11" spans="1:6" x14ac:dyDescent="0.25">
      <c r="A11" s="1">
        <v>5</v>
      </c>
      <c r="B11" s="1">
        <v>7</v>
      </c>
      <c r="C11" s="1">
        <v>3</v>
      </c>
      <c r="D11" s="3">
        <v>1</v>
      </c>
      <c r="E11" s="3"/>
      <c r="F11" s="9"/>
    </row>
    <row r="12" spans="1:6" x14ac:dyDescent="0.25">
      <c r="A12" s="1">
        <v>6</v>
      </c>
      <c r="B12" s="1">
        <v>7</v>
      </c>
      <c r="C12" s="1">
        <v>5</v>
      </c>
      <c r="D12" s="3">
        <v>0</v>
      </c>
      <c r="E12" s="3"/>
      <c r="F12" s="9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2026-02-21T09:14:54Z</dcterms:modified>
</cp:coreProperties>
</file>