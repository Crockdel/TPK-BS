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xr:revisionPtr revIDLastSave="0" documentId="13_ncr:1_{44216595-4359-44DB-856C-B6D9636991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ет. граф. крат. путь" sheetId="1" r:id="rId1"/>
    <sheet name="Крат. путь поиск решения" sheetId="2" r:id="rId2"/>
    <sheet name="метод фф" sheetId="4" r:id="rId3"/>
    <sheet name="поиск решения макс поток" sheetId="3" r:id="rId4"/>
  </sheets>
  <definedNames>
    <definedName name="solver_adj" localSheetId="1" hidden="1">'Крат. путь поиск решения'!$D$3:$D$26</definedName>
    <definedName name="solver_adj" localSheetId="3" hidden="1">'поиск решения макс поток'!$D$3:$D$26</definedName>
    <definedName name="solver_cvg" localSheetId="1" hidden="1">0.0001</definedName>
    <definedName name="solver_cvg" localSheetId="3" hidden="1">0.0001</definedName>
    <definedName name="solver_drv" localSheetId="1" hidden="1">1</definedName>
    <definedName name="solver_drv" localSheetId="3" hidden="1">1</definedName>
    <definedName name="solver_eng" localSheetId="1" hidden="1">1</definedName>
    <definedName name="solver_eng" localSheetId="3" hidden="1">1</definedName>
    <definedName name="solver_est" localSheetId="1" hidden="1">1</definedName>
    <definedName name="solver_est" localSheetId="3" hidden="1">1</definedName>
    <definedName name="solver_itr" localSheetId="1" hidden="1">2147483647</definedName>
    <definedName name="solver_itr" localSheetId="3" hidden="1">2147483647</definedName>
    <definedName name="solver_lhs1" localSheetId="1" hidden="1">'Крат. путь поиск решения'!$D$3:$D$26</definedName>
    <definedName name="solver_lhs1" localSheetId="3" hidden="1">'поиск решения макс поток'!$D$3:$D$26</definedName>
    <definedName name="solver_lhs2" localSheetId="1" hidden="1">'Крат. путь поиск решения'!$D$3:$D$26</definedName>
    <definedName name="solver_lhs2" localSheetId="3" hidden="1">'поиск решения макс поток'!$D$3:$D$26</definedName>
    <definedName name="solver_lhs3" localSheetId="1" hidden="1">'Крат. путь поиск решения'!$E$19</definedName>
    <definedName name="solver_lhs3" localSheetId="3" hidden="1">'поиск решения макс поток'!$E$3:$E$18</definedName>
    <definedName name="solver_lhs4" localSheetId="1" hidden="1">'Крат. путь поиск решения'!$E$3</definedName>
    <definedName name="solver_lhs5" localSheetId="1" hidden="1">'Крат. путь поиск решения'!$E$4:$E$18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neg" localSheetId="1" hidden="1">1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1" hidden="1">5</definedName>
    <definedName name="solver_num" localSheetId="3" hidden="1">3</definedName>
    <definedName name="solver_nwt" localSheetId="1" hidden="1">1</definedName>
    <definedName name="solver_nwt" localSheetId="3" hidden="1">1</definedName>
    <definedName name="solver_opt" localSheetId="1" hidden="1">'Крат. путь поиск решения'!$F$3</definedName>
    <definedName name="solver_opt" localSheetId="3" hidden="1">'поиск решения макс поток'!$F$3</definedName>
    <definedName name="solver_pre" localSheetId="1" hidden="1">0.000001</definedName>
    <definedName name="solver_pre" localSheetId="3" hidden="1">0.000001</definedName>
    <definedName name="solver_rbv" localSheetId="1" hidden="1">1</definedName>
    <definedName name="solver_rbv" localSheetId="3" hidden="1">1</definedName>
    <definedName name="solver_rel1" localSheetId="1" hidden="1">5</definedName>
    <definedName name="solver_rel1" localSheetId="3" hidden="1">1</definedName>
    <definedName name="solver_rel2" localSheetId="1" hidden="1">4</definedName>
    <definedName name="solver_rel2" localSheetId="3" hidden="1">4</definedName>
    <definedName name="solver_rel3" localSheetId="1" hidden="1">2</definedName>
    <definedName name="solver_rel3" localSheetId="3" hidden="1">2</definedName>
    <definedName name="solver_rel4" localSheetId="1" hidden="1">2</definedName>
    <definedName name="solver_rel5" localSheetId="1" hidden="1">2</definedName>
    <definedName name="solver_rhs1" localSheetId="1" hidden="1">"бинарное"</definedName>
    <definedName name="solver_rhs1" localSheetId="3" hidden="1">'поиск решения макс поток'!$C$3:$C$26</definedName>
    <definedName name="solver_rhs2" localSheetId="1" hidden="1">"целое"</definedName>
    <definedName name="solver_rhs2" localSheetId="3" hidden="1">"целое"</definedName>
    <definedName name="solver_rhs3" localSheetId="1" hidden="1">1</definedName>
    <definedName name="solver_rhs3" localSheetId="3" hidden="1">0</definedName>
    <definedName name="solver_rhs4" localSheetId="1" hidden="1">1</definedName>
    <definedName name="solver_rhs5" localSheetId="1" hidden="1">0</definedName>
    <definedName name="solver_rlx" localSheetId="1" hidden="1">2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1</definedName>
    <definedName name="solver_scl" localSheetId="3" hidden="1">1</definedName>
    <definedName name="solver_sho" localSheetId="1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2147483647</definedName>
    <definedName name="solver_tim" localSheetId="3" hidden="1">2147483647</definedName>
    <definedName name="solver_tol" localSheetId="1" hidden="1">0.01</definedName>
    <definedName name="solver_tol" localSheetId="3" hidden="1">0.01</definedName>
    <definedName name="solver_typ" localSheetId="1" hidden="1">2</definedName>
    <definedName name="solver_typ" localSheetId="3" hidden="1">1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E3" i="3"/>
  <c r="F17" i="4"/>
  <c r="E18" i="3" l="1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F3" i="2"/>
  <c r="J15" i="1"/>
  <c r="J14" i="1"/>
  <c r="J13" i="1"/>
  <c r="J12" i="1"/>
  <c r="J11" i="1"/>
  <c r="J10" i="1"/>
  <c r="J9" i="1"/>
  <c r="J8" i="1"/>
  <c r="J7" i="1"/>
  <c r="J16" i="1"/>
  <c r="J6" i="1"/>
  <c r="J5" i="1"/>
  <c r="J4" i="1"/>
  <c r="J3" i="1"/>
  <c r="J2" i="1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<sst xmlns="http://schemas.openxmlformats.org/spreadsheetml/2006/main" count="98" uniqueCount="56">
  <si>
    <t>предшествующая работа</t>
  </si>
  <si>
    <t>рассматриваемая работа</t>
  </si>
  <si>
    <t>-</t>
  </si>
  <si>
    <t>Б</t>
  </si>
  <si>
    <t>В</t>
  </si>
  <si>
    <t>А, Б</t>
  </si>
  <si>
    <t>Д, Г</t>
  </si>
  <si>
    <t>Г, Д</t>
  </si>
  <si>
    <t>З</t>
  </si>
  <si>
    <t>Ж,Е,И</t>
  </si>
  <si>
    <t>Л</t>
  </si>
  <si>
    <t>Г,Д,Н</t>
  </si>
  <si>
    <t>А</t>
  </si>
  <si>
    <t>Г</t>
  </si>
  <si>
    <t>Д</t>
  </si>
  <si>
    <t>Е</t>
  </si>
  <si>
    <t>Н</t>
  </si>
  <si>
    <t>Ж</t>
  </si>
  <si>
    <t>И</t>
  </si>
  <si>
    <t>К</t>
  </si>
  <si>
    <t>М</t>
  </si>
  <si>
    <t>О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</si>
  <si>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</si>
  <si>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</si>
  <si>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</si>
  <si>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Маршрут</t>
  </si>
  <si>
    <t>Кратчайшее растояние</t>
  </si>
  <si>
    <t>min</t>
  </si>
  <si>
    <t xml:space="preserve">Нахождение кратчайшего пути </t>
  </si>
  <si>
    <t>Переменные</t>
  </si>
  <si>
    <t>ограничения</t>
  </si>
  <si>
    <r>
      <t>Min 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</si>
  <si>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1-2-6-15-17</t>
  </si>
  <si>
    <t>1-2-6-10-16-17</t>
  </si>
  <si>
    <t>1-2-6-7-8-9-14-17</t>
  </si>
  <si>
    <t>1-2-6-7-8-11-14-17</t>
  </si>
  <si>
    <t>1-2-6-7-16-17</t>
  </si>
  <si>
    <t>1-3-4-5-8-9-14-17</t>
  </si>
  <si>
    <t>1-3-4-5-8-11-14-17</t>
  </si>
  <si>
    <t>1-3-4-5-16-17</t>
  </si>
  <si>
    <t>1-3-6-15-17</t>
  </si>
  <si>
    <t>1-3-6-10-16-17</t>
  </si>
  <si>
    <t>1-3-6-7-8-9-14-17</t>
  </si>
  <si>
    <t>1-3-6-7-8-11-14-17</t>
  </si>
  <si>
    <t>1-3-6-7-16-17</t>
  </si>
  <si>
    <t>1-12-13-14-17</t>
  </si>
  <si>
    <t>Нахождение макс потока</t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</si>
  <si>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</si>
  <si>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t>Max f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</si>
  <si>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 xml:space="preserve">нахождение макс потока </t>
  </si>
  <si>
    <t>поток</t>
  </si>
  <si>
    <t>пропускная способность</t>
  </si>
  <si>
    <r>
      <rPr>
        <sz val="11"/>
        <color theme="1"/>
        <rFont val="Symbol"/>
        <family val="1"/>
        <charset val="2"/>
      </rPr>
      <t>å</t>
    </r>
    <r>
      <rPr>
        <sz val="11"/>
        <color theme="1"/>
        <rFont val="Calibri"/>
        <family val="2"/>
        <scheme val="minor"/>
      </rPr>
      <t>f=</t>
    </r>
  </si>
  <si>
    <t>Разрез А=</t>
  </si>
  <si>
    <t>åA=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</si>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</sst>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22</xdr:row>
      <xdr:rowOff>47625</xdr:rowOff>
    </xdr:from>
    <xdr:to>
      <xdr:col>8</xdr:col>
      <xdr:colOff>581025</xdr:colOff>
      <xdr:row>25</xdr:row>
      <xdr:rowOff>66675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01F1A594-9206-44C7-B903-47ABA8DAD611}"/>
            </a:ext>
          </a:extLst>
        </xdr:cNvPr>
        <xdr:cNvSpPr/>
      </xdr:nvSpPr>
      <xdr:spPr>
        <a:xfrm>
          <a:off x="5972175" y="44481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</a:p>
      </xdr:txBody>
    </xdr:sp>
    <xdr:clientData/>
  </xdr:twoCellAnchor>
  <xdr:twoCellAnchor>
    <xdr:from>
      <xdr:col>8</xdr:col>
      <xdr:colOff>581025</xdr:colOff>
      <xdr:row>17</xdr:row>
      <xdr:rowOff>123825</xdr:rowOff>
    </xdr:from>
    <xdr:to>
      <xdr:col>11</xdr:col>
      <xdr:colOff>142875</xdr:colOff>
      <xdr:row>23</xdr:row>
      <xdr:rowOff>152400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B29F2B87-C5ED-4907-B31A-0DF163CCA4F3}"/>
            </a:ext>
          </a:extLst>
        </xdr:cNvPr>
        <xdr:cNvCxnSpPr>
          <a:stCxn id="2" idx="6"/>
          <a:endCxn id="5" idx="2"/>
        </xdr:cNvCxnSpPr>
      </xdr:nvCxnSpPr>
      <xdr:spPr>
        <a:xfrm flipV="1">
          <a:off x="6562725" y="3571875"/>
          <a:ext cx="1390650" cy="1171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23</xdr:row>
      <xdr:rowOff>152400</xdr:rowOff>
    </xdr:from>
    <xdr:to>
      <xdr:col>11</xdr:col>
      <xdr:colOff>523875</xdr:colOff>
      <xdr:row>24</xdr:row>
      <xdr:rowOff>57150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C184A68B-6041-4B65-BE61-0705AF42156C}"/>
            </a:ext>
          </a:extLst>
        </xdr:cNvPr>
        <xdr:cNvCxnSpPr>
          <a:stCxn id="2" idx="6"/>
          <a:endCxn id="6" idx="2"/>
        </xdr:cNvCxnSpPr>
      </xdr:nvCxnSpPr>
      <xdr:spPr>
        <a:xfrm>
          <a:off x="6562725" y="4743450"/>
          <a:ext cx="177165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16</xdr:row>
      <xdr:rowOff>19050</xdr:rowOff>
    </xdr:from>
    <xdr:to>
      <xdr:col>12</xdr:col>
      <xdr:colOff>123825</xdr:colOff>
      <xdr:row>19</xdr:row>
      <xdr:rowOff>38100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6CD0CB73-ABE1-4951-85C4-E31418D573F9}"/>
            </a:ext>
          </a:extLst>
        </xdr:cNvPr>
        <xdr:cNvSpPr/>
      </xdr:nvSpPr>
      <xdr:spPr>
        <a:xfrm>
          <a:off x="7953375" y="32766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2</a:t>
          </a:r>
        </a:p>
      </xdr:txBody>
    </xdr:sp>
    <xdr:clientData/>
  </xdr:twoCellAnchor>
  <xdr:twoCellAnchor>
    <xdr:from>
      <xdr:col>11</xdr:col>
      <xdr:colOff>523875</xdr:colOff>
      <xdr:row>22</xdr:row>
      <xdr:rowOff>142875</xdr:rowOff>
    </xdr:from>
    <xdr:to>
      <xdr:col>12</xdr:col>
      <xdr:colOff>504825</xdr:colOff>
      <xdr:row>25</xdr:row>
      <xdr:rowOff>161925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BBB888D2-075A-4E6C-8B84-E566154CB9F3}"/>
            </a:ext>
          </a:extLst>
        </xdr:cNvPr>
        <xdr:cNvSpPr/>
      </xdr:nvSpPr>
      <xdr:spPr>
        <a:xfrm>
          <a:off x="8334375" y="45434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3</a:t>
          </a:r>
        </a:p>
      </xdr:txBody>
    </xdr:sp>
    <xdr:clientData/>
  </xdr:twoCellAnchor>
  <xdr:oneCellAnchor>
    <xdr:from>
      <xdr:col>9</xdr:col>
      <xdr:colOff>314325</xdr:colOff>
      <xdr:row>18</xdr:row>
      <xdr:rowOff>180975</xdr:rowOff>
    </xdr:from>
    <xdr:ext cx="468975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E43244-CBA0-43BF-9382-47F9B8A65B32}"/>
            </a:ext>
          </a:extLst>
        </xdr:cNvPr>
        <xdr:cNvSpPr txBox="1"/>
      </xdr:nvSpPr>
      <xdr:spPr>
        <a:xfrm>
          <a:off x="7448550" y="3952875"/>
          <a:ext cx="4689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А=4</a:t>
          </a:r>
        </a:p>
      </xdr:txBody>
    </xdr:sp>
    <xdr:clientData/>
  </xdr:oneCellAnchor>
  <xdr:oneCellAnchor>
    <xdr:from>
      <xdr:col>9</xdr:col>
      <xdr:colOff>219075</xdr:colOff>
      <xdr:row>27</xdr:row>
      <xdr:rowOff>19050</xdr:rowOff>
    </xdr:from>
    <xdr:ext cx="450123" cy="31149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0B089D-EFBE-4BA5-9CF8-D074F7FBF5D9}"/>
            </a:ext>
          </a:extLst>
        </xdr:cNvPr>
        <xdr:cNvSpPr txBox="1"/>
      </xdr:nvSpPr>
      <xdr:spPr>
        <a:xfrm>
          <a:off x="6810375" y="5372100"/>
          <a:ext cx="4501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З=5</a:t>
          </a:r>
        </a:p>
      </xdr:txBody>
    </xdr:sp>
    <xdr:clientData/>
  </xdr:oneCellAnchor>
  <xdr:twoCellAnchor>
    <xdr:from>
      <xdr:col>8</xdr:col>
      <xdr:colOff>581025</xdr:colOff>
      <xdr:row>23</xdr:row>
      <xdr:rowOff>152400</xdr:rowOff>
    </xdr:from>
    <xdr:to>
      <xdr:col>10</xdr:col>
      <xdr:colOff>581784</xdr:colOff>
      <xdr:row>31</xdr:row>
      <xdr:rowOff>29334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A7B3B071-7F99-4A99-BC06-B4C9FA0731B8}"/>
            </a:ext>
          </a:extLst>
        </xdr:cNvPr>
        <xdr:cNvCxnSpPr>
          <a:stCxn id="2" idx="6"/>
          <a:endCxn id="112" idx="1"/>
        </xdr:cNvCxnSpPr>
      </xdr:nvCxnSpPr>
      <xdr:spPr>
        <a:xfrm>
          <a:off x="6562725" y="4743450"/>
          <a:ext cx="1219959" cy="14009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419100</xdr:colOff>
      <xdr:row>22</xdr:row>
      <xdr:rowOff>142875</xdr:rowOff>
    </xdr:from>
    <xdr:ext cx="461601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E36D5AE-B6AA-41FD-BD1E-261FC8B6105D}"/>
            </a:ext>
          </a:extLst>
        </xdr:cNvPr>
        <xdr:cNvSpPr txBox="1"/>
      </xdr:nvSpPr>
      <xdr:spPr>
        <a:xfrm>
          <a:off x="7620000" y="4543425"/>
          <a:ext cx="46160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Б=2</a:t>
          </a:r>
        </a:p>
      </xdr:txBody>
    </xdr:sp>
    <xdr:clientData/>
  </xdr:oneCellAnchor>
  <xdr:twoCellAnchor>
    <xdr:from>
      <xdr:col>15</xdr:col>
      <xdr:colOff>561975</xdr:colOff>
      <xdr:row>11</xdr:row>
      <xdr:rowOff>123825</xdr:rowOff>
    </xdr:from>
    <xdr:to>
      <xdr:col>16</xdr:col>
      <xdr:colOff>542925</xdr:colOff>
      <xdr:row>14</xdr:row>
      <xdr:rowOff>142875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10857A58-3DCF-4903-93BA-18BFC4CA1FCD}"/>
            </a:ext>
          </a:extLst>
        </xdr:cNvPr>
        <xdr:cNvSpPr/>
      </xdr:nvSpPr>
      <xdr:spPr>
        <a:xfrm>
          <a:off x="10810875" y="24288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10</a:t>
          </a:r>
        </a:p>
      </xdr:txBody>
    </xdr:sp>
    <xdr:clientData/>
  </xdr:twoCellAnchor>
  <xdr:twoCellAnchor>
    <xdr:from>
      <xdr:col>12</xdr:col>
      <xdr:colOff>504825</xdr:colOff>
      <xdr:row>24</xdr:row>
      <xdr:rowOff>57150</xdr:rowOff>
    </xdr:from>
    <xdr:to>
      <xdr:col>14</xdr:col>
      <xdr:colOff>295275</xdr:colOff>
      <xdr:row>24</xdr:row>
      <xdr:rowOff>66675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75001DCF-58C8-41E2-9E17-70952094EDD3}"/>
            </a:ext>
          </a:extLst>
        </xdr:cNvPr>
        <xdr:cNvCxnSpPr>
          <a:stCxn id="6" idx="6"/>
          <a:endCxn id="31" idx="2"/>
        </xdr:cNvCxnSpPr>
      </xdr:nvCxnSpPr>
      <xdr:spPr>
        <a:xfrm>
          <a:off x="8924925" y="4838700"/>
          <a:ext cx="1009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22</xdr:row>
      <xdr:rowOff>152400</xdr:rowOff>
    </xdr:from>
    <xdr:to>
      <xdr:col>15</xdr:col>
      <xdr:colOff>276225</xdr:colOff>
      <xdr:row>25</xdr:row>
      <xdr:rowOff>171450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F3A0E0EF-D31C-48F1-B6A4-F83A6206ED33}"/>
            </a:ext>
          </a:extLst>
        </xdr:cNvPr>
        <xdr:cNvSpPr/>
      </xdr:nvSpPr>
      <xdr:spPr>
        <a:xfrm>
          <a:off x="9934575" y="45529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4</a:t>
          </a:r>
        </a:p>
      </xdr:txBody>
    </xdr:sp>
    <xdr:clientData/>
  </xdr:twoCellAnchor>
  <xdr:oneCellAnchor>
    <xdr:from>
      <xdr:col>13</xdr:col>
      <xdr:colOff>142875</xdr:colOff>
      <xdr:row>22</xdr:row>
      <xdr:rowOff>180975</xdr:rowOff>
    </xdr:from>
    <xdr:ext cx="462755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9D6AB97-747E-4874-8AEC-1584F4E745CB}"/>
            </a:ext>
          </a:extLst>
        </xdr:cNvPr>
        <xdr:cNvSpPr txBox="1"/>
      </xdr:nvSpPr>
      <xdr:spPr>
        <a:xfrm>
          <a:off x="9172575" y="4581525"/>
          <a:ext cx="46275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В=7</a:t>
          </a:r>
        </a:p>
      </xdr:txBody>
    </xdr:sp>
    <xdr:clientData/>
  </xdr:oneCellAnchor>
  <xdr:twoCellAnchor>
    <xdr:from>
      <xdr:col>15</xdr:col>
      <xdr:colOff>276225</xdr:colOff>
      <xdr:row>24</xdr:row>
      <xdr:rowOff>47625</xdr:rowOff>
    </xdr:from>
    <xdr:to>
      <xdr:col>17</xdr:col>
      <xdr:colOff>9525</xdr:colOff>
      <xdr:row>24</xdr:row>
      <xdr:rowOff>66675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27FEB5DA-EB0E-4D54-A049-BD9C41192C05}"/>
            </a:ext>
          </a:extLst>
        </xdr:cNvPr>
        <xdr:cNvCxnSpPr>
          <a:stCxn id="31" idx="6"/>
          <a:endCxn id="40" idx="2"/>
        </xdr:cNvCxnSpPr>
      </xdr:nvCxnSpPr>
      <xdr:spPr>
        <a:xfrm flipV="1">
          <a:off x="10525125" y="4829175"/>
          <a:ext cx="952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22</xdr:row>
      <xdr:rowOff>133350</xdr:rowOff>
    </xdr:from>
    <xdr:to>
      <xdr:col>17</xdr:col>
      <xdr:colOff>600075</xdr:colOff>
      <xdr:row>25</xdr:row>
      <xdr:rowOff>152400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B3882901-EE15-4991-9B1F-5781CDC7EE86}"/>
            </a:ext>
          </a:extLst>
        </xdr:cNvPr>
        <xdr:cNvSpPr/>
      </xdr:nvSpPr>
      <xdr:spPr>
        <a:xfrm>
          <a:off x="11477625" y="45339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5</a:t>
          </a:r>
        </a:p>
      </xdr:txBody>
    </xdr:sp>
    <xdr:clientData/>
  </xdr:twoCellAnchor>
  <xdr:oneCellAnchor>
    <xdr:from>
      <xdr:col>15</xdr:col>
      <xdr:colOff>495300</xdr:colOff>
      <xdr:row>22</xdr:row>
      <xdr:rowOff>161925</xdr:rowOff>
    </xdr:from>
    <xdr:ext cx="442237" cy="31149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C2A64B-15A9-4596-A77B-6ADE76180D3D}"/>
            </a:ext>
          </a:extLst>
        </xdr:cNvPr>
        <xdr:cNvSpPr txBox="1"/>
      </xdr:nvSpPr>
      <xdr:spPr>
        <a:xfrm>
          <a:off x="10744200" y="4562475"/>
          <a:ext cx="44223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Г=8</a:t>
          </a:r>
        </a:p>
      </xdr:txBody>
    </xdr:sp>
    <xdr:clientData/>
  </xdr:oneCellAnchor>
  <xdr:twoCellAnchor>
    <xdr:from>
      <xdr:col>12</xdr:col>
      <xdr:colOff>123825</xdr:colOff>
      <xdr:row>17</xdr:row>
      <xdr:rowOff>104775</xdr:rowOff>
    </xdr:from>
    <xdr:to>
      <xdr:col>13</xdr:col>
      <xdr:colOff>161925</xdr:colOff>
      <xdr:row>17</xdr:row>
      <xdr:rowOff>123825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5C60ADD6-7800-483B-917A-82533387F32C}"/>
            </a:ext>
          </a:extLst>
        </xdr:cNvPr>
        <xdr:cNvCxnSpPr>
          <a:stCxn id="5" idx="6"/>
          <a:endCxn id="52" idx="2"/>
        </xdr:cNvCxnSpPr>
      </xdr:nvCxnSpPr>
      <xdr:spPr>
        <a:xfrm flipV="1">
          <a:off x="8543925" y="3552825"/>
          <a:ext cx="647700" cy="190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418341</xdr:colOff>
      <xdr:row>18</xdr:row>
      <xdr:rowOff>123066</xdr:rowOff>
    </xdr:from>
    <xdr:to>
      <xdr:col>13</xdr:col>
      <xdr:colOff>248409</xdr:colOff>
      <xdr:row>23</xdr:row>
      <xdr:rowOff>38859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9FB3B2CD-7CF7-48B6-9D1B-1745B0CAE352}"/>
            </a:ext>
          </a:extLst>
        </xdr:cNvPr>
        <xdr:cNvCxnSpPr>
          <a:stCxn id="6" idx="7"/>
          <a:endCxn id="52" idx="3"/>
        </xdr:cNvCxnSpPr>
      </xdr:nvCxnSpPr>
      <xdr:spPr>
        <a:xfrm flipV="1">
          <a:off x="8838441" y="3761616"/>
          <a:ext cx="439668" cy="8682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16</xdr:row>
      <xdr:rowOff>0</xdr:rowOff>
    </xdr:from>
    <xdr:to>
      <xdr:col>14</xdr:col>
      <xdr:colOff>142875</xdr:colOff>
      <xdr:row>19</xdr:row>
      <xdr:rowOff>19050</xdr:rowOff>
    </xdr:to>
    <xdr:sp macro="" textlink="">
      <xdr:nvSpPr>
        <xdr:cNvPr id="52" name="Овал 51">
          <a:extLst>
            <a:ext uri="{FF2B5EF4-FFF2-40B4-BE49-F238E27FC236}">
              <a16:creationId xmlns:a16="http://schemas.microsoft.com/office/drawing/2014/main" id="{CC5DD0D4-44FD-4159-A214-4249A2584A46}"/>
            </a:ext>
          </a:extLst>
        </xdr:cNvPr>
        <xdr:cNvSpPr/>
      </xdr:nvSpPr>
      <xdr:spPr>
        <a:xfrm>
          <a:off x="9191625" y="32575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6</a:t>
          </a:r>
        </a:p>
      </xdr:txBody>
    </xdr:sp>
    <xdr:clientData/>
  </xdr:twoCellAnchor>
  <xdr:twoCellAnchor>
    <xdr:from>
      <xdr:col>14</xdr:col>
      <xdr:colOff>142875</xdr:colOff>
      <xdr:row>17</xdr:row>
      <xdr:rowOff>85725</xdr:rowOff>
    </xdr:from>
    <xdr:to>
      <xdr:col>16</xdr:col>
      <xdr:colOff>66675</xdr:colOff>
      <xdr:row>17</xdr:row>
      <xdr:rowOff>104775</xdr:rowOff>
    </xdr:to>
    <xdr:cxnSp macro="">
      <xdr:nvCxnSpPr>
        <xdr:cNvPr id="59" name="Прямая со стрелкой 58">
          <a:extLst>
            <a:ext uri="{FF2B5EF4-FFF2-40B4-BE49-F238E27FC236}">
              <a16:creationId xmlns:a16="http://schemas.microsoft.com/office/drawing/2014/main" id="{7357A1CB-81C8-4980-A67B-F68E1B67AB67}"/>
            </a:ext>
          </a:extLst>
        </xdr:cNvPr>
        <xdr:cNvCxnSpPr>
          <a:stCxn id="52" idx="6"/>
          <a:endCxn id="68" idx="2"/>
        </xdr:cNvCxnSpPr>
      </xdr:nvCxnSpPr>
      <xdr:spPr>
        <a:xfrm flipV="1">
          <a:off x="9782175" y="3533775"/>
          <a:ext cx="1143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381000</xdr:colOff>
      <xdr:row>16</xdr:row>
      <xdr:rowOff>19050</xdr:rowOff>
    </xdr:from>
    <xdr:ext cx="590550" cy="31149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3657A3A-36D4-41F4-B7A8-8EFCBEEC803B}"/>
            </a:ext>
          </a:extLst>
        </xdr:cNvPr>
        <xdr:cNvSpPr txBox="1"/>
      </xdr:nvSpPr>
      <xdr:spPr>
        <a:xfrm>
          <a:off x="10020300" y="327660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Д=5</a:t>
          </a:r>
        </a:p>
      </xdr:txBody>
    </xdr:sp>
    <xdr:clientData/>
  </xdr:oneCellAnchor>
  <xdr:twoCellAnchor>
    <xdr:from>
      <xdr:col>16</xdr:col>
      <xdr:colOff>66675</xdr:colOff>
      <xdr:row>15</xdr:row>
      <xdr:rowOff>171450</xdr:rowOff>
    </xdr:from>
    <xdr:to>
      <xdr:col>17</xdr:col>
      <xdr:colOff>47625</xdr:colOff>
      <xdr:row>19</xdr:row>
      <xdr:rowOff>0</xdr:rowOff>
    </xdr:to>
    <xdr:sp macro="" textlink="">
      <xdr:nvSpPr>
        <xdr:cNvPr id="68" name="Овал 67">
          <a:extLst>
            <a:ext uri="{FF2B5EF4-FFF2-40B4-BE49-F238E27FC236}">
              <a16:creationId xmlns:a16="http://schemas.microsoft.com/office/drawing/2014/main" id="{FBEAC79D-1A31-4B1D-AF9E-1A5DC9C7051E}"/>
            </a:ext>
          </a:extLst>
        </xdr:cNvPr>
        <xdr:cNvSpPr/>
      </xdr:nvSpPr>
      <xdr:spPr>
        <a:xfrm>
          <a:off x="10925175" y="32385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7</a:t>
          </a:r>
        </a:p>
      </xdr:txBody>
    </xdr:sp>
    <xdr:clientData/>
  </xdr:twoCellAnchor>
  <xdr:twoCellAnchor>
    <xdr:from>
      <xdr:col>17</xdr:col>
      <xdr:colOff>47625</xdr:colOff>
      <xdr:row>17</xdr:row>
      <xdr:rowOff>85725</xdr:rowOff>
    </xdr:from>
    <xdr:to>
      <xdr:col>18</xdr:col>
      <xdr:colOff>257175</xdr:colOff>
      <xdr:row>19</xdr:row>
      <xdr:rowOff>161925</xdr:rowOff>
    </xdr:to>
    <xdr:cxnSp macro="">
      <xdr:nvCxnSpPr>
        <xdr:cNvPr id="71" name="Прямая со стрелкой 70">
          <a:extLst>
            <a:ext uri="{FF2B5EF4-FFF2-40B4-BE49-F238E27FC236}">
              <a16:creationId xmlns:a16="http://schemas.microsoft.com/office/drawing/2014/main" id="{BABD815D-0038-4387-8841-C4AE1A2B6AD7}"/>
            </a:ext>
          </a:extLst>
        </xdr:cNvPr>
        <xdr:cNvCxnSpPr>
          <a:stCxn id="68" idx="6"/>
          <a:endCxn id="76" idx="2"/>
        </xdr:cNvCxnSpPr>
      </xdr:nvCxnSpPr>
      <xdr:spPr>
        <a:xfrm>
          <a:off x="11515725" y="3533775"/>
          <a:ext cx="819150" cy="4572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600075</xdr:colOff>
      <xdr:row>20</xdr:row>
      <xdr:rowOff>180216</xdr:rowOff>
    </xdr:from>
    <xdr:to>
      <xdr:col>18</xdr:col>
      <xdr:colOff>343659</xdr:colOff>
      <xdr:row>24</xdr:row>
      <xdr:rowOff>47625</xdr:rowOff>
    </xdr:to>
    <xdr:cxnSp macro="">
      <xdr:nvCxnSpPr>
        <xdr:cNvPr id="73" name="Прямая со стрелкой 72">
          <a:extLst>
            <a:ext uri="{FF2B5EF4-FFF2-40B4-BE49-F238E27FC236}">
              <a16:creationId xmlns:a16="http://schemas.microsoft.com/office/drawing/2014/main" id="{FFAA77A3-EBD1-4E94-8D60-C089FE07F9D3}"/>
            </a:ext>
          </a:extLst>
        </xdr:cNvPr>
        <xdr:cNvCxnSpPr>
          <a:stCxn id="40" idx="6"/>
          <a:endCxn id="76" idx="3"/>
        </xdr:cNvCxnSpPr>
      </xdr:nvCxnSpPr>
      <xdr:spPr>
        <a:xfrm flipV="1">
          <a:off x="12068175" y="4199766"/>
          <a:ext cx="353184" cy="6294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257175</xdr:colOff>
      <xdr:row>18</xdr:row>
      <xdr:rowOff>57150</xdr:rowOff>
    </xdr:from>
    <xdr:to>
      <xdr:col>19</xdr:col>
      <xdr:colOff>238125</xdr:colOff>
      <xdr:row>21</xdr:row>
      <xdr:rowOff>76200</xdr:rowOff>
    </xdr:to>
    <xdr:sp macro="" textlink="">
      <xdr:nvSpPr>
        <xdr:cNvPr id="76" name="Овал 75">
          <a:extLst>
            <a:ext uri="{FF2B5EF4-FFF2-40B4-BE49-F238E27FC236}">
              <a16:creationId xmlns:a16="http://schemas.microsoft.com/office/drawing/2014/main" id="{8AFDBF5E-B60B-45CD-8233-596E003C129F}"/>
            </a:ext>
          </a:extLst>
        </xdr:cNvPr>
        <xdr:cNvSpPr/>
      </xdr:nvSpPr>
      <xdr:spPr>
        <a:xfrm>
          <a:off x="12334875" y="36957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8</a:t>
          </a:r>
        </a:p>
      </xdr:txBody>
    </xdr:sp>
    <xdr:clientData/>
  </xdr:twoCellAnchor>
  <xdr:twoCellAnchor>
    <xdr:from>
      <xdr:col>18</xdr:col>
      <xdr:colOff>552450</xdr:colOff>
      <xdr:row>21</xdr:row>
      <xdr:rowOff>76200</xdr:rowOff>
    </xdr:from>
    <xdr:to>
      <xdr:col>18</xdr:col>
      <xdr:colOff>552450</xdr:colOff>
      <xdr:row>24</xdr:row>
      <xdr:rowOff>85725</xdr:rowOff>
    </xdr:to>
    <xdr:cxnSp macro="">
      <xdr:nvCxnSpPr>
        <xdr:cNvPr id="85" name="Прямая со стрелкой 84">
          <a:extLst>
            <a:ext uri="{FF2B5EF4-FFF2-40B4-BE49-F238E27FC236}">
              <a16:creationId xmlns:a16="http://schemas.microsoft.com/office/drawing/2014/main" id="{07AB4BDC-6FB7-4E28-B86B-E95E8097F9C9}"/>
            </a:ext>
          </a:extLst>
        </xdr:cNvPr>
        <xdr:cNvCxnSpPr>
          <a:stCxn id="76" idx="4"/>
          <a:endCxn id="107" idx="0"/>
        </xdr:cNvCxnSpPr>
      </xdr:nvCxnSpPr>
      <xdr:spPr>
        <a:xfrm>
          <a:off x="12630150" y="4286250"/>
          <a:ext cx="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523875</xdr:colOff>
      <xdr:row>22</xdr:row>
      <xdr:rowOff>76200</xdr:rowOff>
    </xdr:from>
    <xdr:ext cx="452753" cy="31149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779EFF-05A4-4EE1-8C7B-2E1F57C9F16C}"/>
            </a:ext>
          </a:extLst>
        </xdr:cNvPr>
        <xdr:cNvSpPr txBox="1"/>
      </xdr:nvSpPr>
      <xdr:spPr>
        <a:xfrm>
          <a:off x="12601575" y="4476750"/>
          <a:ext cx="4527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Е=6</a:t>
          </a:r>
        </a:p>
      </xdr:txBody>
    </xdr:sp>
    <xdr:clientData/>
  </xdr:oneCellAnchor>
  <xdr:twoCellAnchor>
    <xdr:from>
      <xdr:col>14</xdr:col>
      <xdr:colOff>56391</xdr:colOff>
      <xdr:row>14</xdr:row>
      <xdr:rowOff>56391</xdr:rowOff>
    </xdr:from>
    <xdr:to>
      <xdr:col>16</xdr:col>
      <xdr:colOff>38859</xdr:colOff>
      <xdr:row>16</xdr:row>
      <xdr:rowOff>82299</xdr:rowOff>
    </xdr:to>
    <xdr:cxnSp macro="">
      <xdr:nvCxnSpPr>
        <xdr:cNvPr id="89" name="Прямая со стрелкой 88">
          <a:extLst>
            <a:ext uri="{FF2B5EF4-FFF2-40B4-BE49-F238E27FC236}">
              <a16:creationId xmlns:a16="http://schemas.microsoft.com/office/drawing/2014/main" id="{A38AA040-A970-4497-B7D3-0421C1E684EC}"/>
            </a:ext>
          </a:extLst>
        </xdr:cNvPr>
        <xdr:cNvCxnSpPr>
          <a:stCxn id="52" idx="7"/>
          <a:endCxn id="27" idx="3"/>
        </xdr:cNvCxnSpPr>
      </xdr:nvCxnSpPr>
      <xdr:spPr>
        <a:xfrm flipV="1">
          <a:off x="9714741" y="2932941"/>
          <a:ext cx="1201668" cy="4069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228600</xdr:colOff>
      <xdr:row>14</xdr:row>
      <xdr:rowOff>0</xdr:rowOff>
    </xdr:from>
    <xdr:ext cx="590550" cy="31149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608F317-0A89-4003-9DEF-885CCF1FBBAB}"/>
            </a:ext>
          </a:extLst>
        </xdr:cNvPr>
        <xdr:cNvSpPr txBox="1"/>
      </xdr:nvSpPr>
      <xdr:spPr>
        <a:xfrm>
          <a:off x="9867900" y="287655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Н=4</a:t>
          </a:r>
        </a:p>
      </xdr:txBody>
    </xdr:sp>
    <xdr:clientData/>
  </xdr:oneCellAnchor>
  <xdr:twoCellAnchor>
    <xdr:from>
      <xdr:col>19</xdr:col>
      <xdr:colOff>151641</xdr:colOff>
      <xdr:row>20</xdr:row>
      <xdr:rowOff>180216</xdr:rowOff>
    </xdr:from>
    <xdr:to>
      <xdr:col>20</xdr:col>
      <xdr:colOff>229359</xdr:colOff>
      <xdr:row>25</xdr:row>
      <xdr:rowOff>57909</xdr:rowOff>
    </xdr:to>
    <xdr:cxnSp macro="">
      <xdr:nvCxnSpPr>
        <xdr:cNvPr id="98" name="Прямая со стрелкой 97">
          <a:extLst>
            <a:ext uri="{FF2B5EF4-FFF2-40B4-BE49-F238E27FC236}">
              <a16:creationId xmlns:a16="http://schemas.microsoft.com/office/drawing/2014/main" id="{D844ED55-4EA4-4322-BF09-750F340C20DC}"/>
            </a:ext>
          </a:extLst>
        </xdr:cNvPr>
        <xdr:cNvCxnSpPr>
          <a:stCxn id="76" idx="5"/>
          <a:endCxn id="109" idx="1"/>
        </xdr:cNvCxnSpPr>
      </xdr:nvCxnSpPr>
      <xdr:spPr>
        <a:xfrm>
          <a:off x="12857991" y="4171191"/>
          <a:ext cx="687318" cy="8301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485776</xdr:colOff>
      <xdr:row>21</xdr:row>
      <xdr:rowOff>142875</xdr:rowOff>
    </xdr:from>
    <xdr:ext cx="600074" cy="311496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B9444E8-9BA3-4BDA-99E8-70B6A28A22EB}"/>
            </a:ext>
          </a:extLst>
        </xdr:cNvPr>
        <xdr:cNvSpPr txBox="1"/>
      </xdr:nvSpPr>
      <xdr:spPr>
        <a:xfrm>
          <a:off x="13173076" y="4352925"/>
          <a:ext cx="6000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Ж=6</a:t>
          </a:r>
        </a:p>
      </xdr:txBody>
    </xdr:sp>
    <xdr:clientData/>
  </xdr:oneCellAnchor>
  <xdr:twoCellAnchor>
    <xdr:from>
      <xdr:col>18</xdr:col>
      <xdr:colOff>257175</xdr:colOff>
      <xdr:row>24</xdr:row>
      <xdr:rowOff>85725</xdr:rowOff>
    </xdr:from>
    <xdr:to>
      <xdr:col>19</xdr:col>
      <xdr:colOff>238125</xdr:colOff>
      <xdr:row>27</xdr:row>
      <xdr:rowOff>104775</xdr:rowOff>
    </xdr:to>
    <xdr:sp macro="" textlink="">
      <xdr:nvSpPr>
        <xdr:cNvPr id="107" name="Овал 106">
          <a:extLst>
            <a:ext uri="{FF2B5EF4-FFF2-40B4-BE49-F238E27FC236}">
              <a16:creationId xmlns:a16="http://schemas.microsoft.com/office/drawing/2014/main" id="{C4CDD0AB-9177-45D6-8B5A-A761FC35A13A}"/>
            </a:ext>
          </a:extLst>
        </xdr:cNvPr>
        <xdr:cNvSpPr/>
      </xdr:nvSpPr>
      <xdr:spPr>
        <a:xfrm>
          <a:off x="12334875" y="48672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9</a:t>
          </a:r>
        </a:p>
      </xdr:txBody>
    </xdr:sp>
    <xdr:clientData/>
  </xdr:twoCellAnchor>
  <xdr:twoCellAnchor>
    <xdr:from>
      <xdr:col>20</xdr:col>
      <xdr:colOff>142875</xdr:colOff>
      <xdr:row>24</xdr:row>
      <xdr:rowOff>161925</xdr:rowOff>
    </xdr:from>
    <xdr:to>
      <xdr:col>21</xdr:col>
      <xdr:colOff>123825</xdr:colOff>
      <xdr:row>27</xdr:row>
      <xdr:rowOff>180975</xdr:rowOff>
    </xdr:to>
    <xdr:sp macro="" textlink="">
      <xdr:nvSpPr>
        <xdr:cNvPr id="109" name="Овал 108">
          <a:extLst>
            <a:ext uri="{FF2B5EF4-FFF2-40B4-BE49-F238E27FC236}">
              <a16:creationId xmlns:a16="http://schemas.microsoft.com/office/drawing/2014/main" id="{3EC68AAE-84E9-47E4-955B-C14AB928A933}"/>
            </a:ext>
          </a:extLst>
        </xdr:cNvPr>
        <xdr:cNvSpPr/>
      </xdr:nvSpPr>
      <xdr:spPr>
        <a:xfrm>
          <a:off x="13439775" y="49434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11</a:t>
          </a:r>
        </a:p>
      </xdr:txBody>
    </xdr:sp>
    <xdr:clientData/>
  </xdr:twoCellAnchor>
  <xdr:twoCellAnchor>
    <xdr:from>
      <xdr:col>10</xdr:col>
      <xdr:colOff>495300</xdr:colOff>
      <xdr:row>30</xdr:row>
      <xdr:rowOff>133350</xdr:rowOff>
    </xdr:from>
    <xdr:to>
      <xdr:col>11</xdr:col>
      <xdr:colOff>476250</xdr:colOff>
      <xdr:row>33</xdr:row>
      <xdr:rowOff>152400</xdr:rowOff>
    </xdr:to>
    <xdr:sp macro="" textlink="">
      <xdr:nvSpPr>
        <xdr:cNvPr id="112" name="Овал 111">
          <a:extLst>
            <a:ext uri="{FF2B5EF4-FFF2-40B4-BE49-F238E27FC236}">
              <a16:creationId xmlns:a16="http://schemas.microsoft.com/office/drawing/2014/main" id="{28B35512-62E1-4683-BF18-103379FB1C8C}"/>
            </a:ext>
          </a:extLst>
        </xdr:cNvPr>
        <xdr:cNvSpPr/>
      </xdr:nvSpPr>
      <xdr:spPr>
        <a:xfrm>
          <a:off x="7696200" y="60579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12</a:t>
          </a:r>
        </a:p>
      </xdr:txBody>
    </xdr:sp>
    <xdr:clientData/>
  </xdr:twoCellAnchor>
  <xdr:twoCellAnchor>
    <xdr:from>
      <xdr:col>11</xdr:col>
      <xdr:colOff>476250</xdr:colOff>
      <xdr:row>32</xdr:row>
      <xdr:rowOff>47625</xdr:rowOff>
    </xdr:from>
    <xdr:to>
      <xdr:col>14</xdr:col>
      <xdr:colOff>542925</xdr:colOff>
      <xdr:row>32</xdr:row>
      <xdr:rowOff>95250</xdr:rowOff>
    </xdr:to>
    <xdr:cxnSp macro="">
      <xdr:nvCxnSpPr>
        <xdr:cNvPr id="114" name="Прямая со стрелкой 113">
          <a:extLst>
            <a:ext uri="{FF2B5EF4-FFF2-40B4-BE49-F238E27FC236}">
              <a16:creationId xmlns:a16="http://schemas.microsoft.com/office/drawing/2014/main" id="{5F81D79A-0D7B-4BA7-8C97-4406C6D5D587}"/>
            </a:ext>
          </a:extLst>
        </xdr:cNvPr>
        <xdr:cNvCxnSpPr>
          <a:stCxn id="112" idx="6"/>
          <a:endCxn id="115" idx="2"/>
        </xdr:cNvCxnSpPr>
      </xdr:nvCxnSpPr>
      <xdr:spPr>
        <a:xfrm>
          <a:off x="8286750" y="6353175"/>
          <a:ext cx="18954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542925</xdr:colOff>
      <xdr:row>30</xdr:row>
      <xdr:rowOff>180975</xdr:rowOff>
    </xdr:from>
    <xdr:to>
      <xdr:col>15</xdr:col>
      <xdr:colOff>523875</xdr:colOff>
      <xdr:row>34</xdr:row>
      <xdr:rowOff>9525</xdr:rowOff>
    </xdr:to>
    <xdr:sp macro="" textlink="">
      <xdr:nvSpPr>
        <xdr:cNvPr id="115" name="Овал 114">
          <a:extLst>
            <a:ext uri="{FF2B5EF4-FFF2-40B4-BE49-F238E27FC236}">
              <a16:creationId xmlns:a16="http://schemas.microsoft.com/office/drawing/2014/main" id="{A9C200A3-47D1-46FC-86A7-932FBAE81F35}"/>
            </a:ext>
          </a:extLst>
        </xdr:cNvPr>
        <xdr:cNvSpPr/>
      </xdr:nvSpPr>
      <xdr:spPr>
        <a:xfrm>
          <a:off x="10182225" y="61055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13</a:t>
          </a:r>
        </a:p>
      </xdr:txBody>
    </xdr:sp>
    <xdr:clientData/>
  </xdr:twoCellAnchor>
  <xdr:oneCellAnchor>
    <xdr:from>
      <xdr:col>12</xdr:col>
      <xdr:colOff>171450</xdr:colOff>
      <xdr:row>30</xdr:row>
      <xdr:rowOff>133350</xdr:rowOff>
    </xdr:from>
    <xdr:ext cx="480260" cy="311496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E61EB1E-FDF5-4E0A-A808-9145F9A1C412}"/>
            </a:ext>
          </a:extLst>
        </xdr:cNvPr>
        <xdr:cNvSpPr txBox="1"/>
      </xdr:nvSpPr>
      <xdr:spPr>
        <a:xfrm>
          <a:off x="8591550" y="6057900"/>
          <a:ext cx="4802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И=2</a:t>
          </a:r>
        </a:p>
      </xdr:txBody>
    </xdr:sp>
    <xdr:clientData/>
  </xdr:oneCellAnchor>
  <xdr:twoCellAnchor>
    <xdr:from>
      <xdr:col>15</xdr:col>
      <xdr:colOff>523875</xdr:colOff>
      <xdr:row>32</xdr:row>
      <xdr:rowOff>95250</xdr:rowOff>
    </xdr:from>
    <xdr:to>
      <xdr:col>21</xdr:col>
      <xdr:colOff>104775</xdr:colOff>
      <xdr:row>32</xdr:row>
      <xdr:rowOff>180975</xdr:rowOff>
    </xdr:to>
    <xdr:cxnSp macro="">
      <xdr:nvCxnSpPr>
        <xdr:cNvPr id="129" name="Прямая со стрелкой 128">
          <a:extLst>
            <a:ext uri="{FF2B5EF4-FFF2-40B4-BE49-F238E27FC236}">
              <a16:creationId xmlns:a16="http://schemas.microsoft.com/office/drawing/2014/main" id="{AF1F79A7-98B6-4160-BFD7-6B272AA24ED2}"/>
            </a:ext>
          </a:extLst>
        </xdr:cNvPr>
        <xdr:cNvCxnSpPr>
          <a:stCxn id="115" idx="6"/>
          <a:endCxn id="132" idx="2"/>
        </xdr:cNvCxnSpPr>
      </xdr:nvCxnSpPr>
      <xdr:spPr>
        <a:xfrm>
          <a:off x="10772775" y="6400800"/>
          <a:ext cx="3238500" cy="857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104775</xdr:colOff>
      <xdr:row>31</xdr:row>
      <xdr:rowOff>76200</xdr:rowOff>
    </xdr:from>
    <xdr:to>
      <xdr:col>22</xdr:col>
      <xdr:colOff>85725</xdr:colOff>
      <xdr:row>34</xdr:row>
      <xdr:rowOff>95250</xdr:rowOff>
    </xdr:to>
    <xdr:sp macro="" textlink="">
      <xdr:nvSpPr>
        <xdr:cNvPr id="132" name="Овал 131">
          <a:extLst>
            <a:ext uri="{FF2B5EF4-FFF2-40B4-BE49-F238E27FC236}">
              <a16:creationId xmlns:a16="http://schemas.microsoft.com/office/drawing/2014/main" id="{BA880211-5681-4978-9A33-E4903C923673}"/>
            </a:ext>
          </a:extLst>
        </xdr:cNvPr>
        <xdr:cNvSpPr/>
      </xdr:nvSpPr>
      <xdr:spPr>
        <a:xfrm>
          <a:off x="14011275" y="61912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14</a:t>
          </a:r>
        </a:p>
      </xdr:txBody>
    </xdr:sp>
    <xdr:clientData/>
  </xdr:twoCellAnchor>
  <xdr:twoCellAnchor>
    <xdr:from>
      <xdr:col>19</xdr:col>
      <xdr:colOff>151641</xdr:colOff>
      <xdr:row>27</xdr:row>
      <xdr:rowOff>18291</xdr:rowOff>
    </xdr:from>
    <xdr:to>
      <xdr:col>21</xdr:col>
      <xdr:colOff>191259</xdr:colOff>
      <xdr:row>31</xdr:row>
      <xdr:rowOff>162684</xdr:rowOff>
    </xdr:to>
    <xdr:cxnSp macro="">
      <xdr:nvCxnSpPr>
        <xdr:cNvPr id="136" name="Прямая со стрелкой 135">
          <a:extLst>
            <a:ext uri="{FF2B5EF4-FFF2-40B4-BE49-F238E27FC236}">
              <a16:creationId xmlns:a16="http://schemas.microsoft.com/office/drawing/2014/main" id="{F5259A75-CB3C-4121-ADFD-93969A575EFA}"/>
            </a:ext>
          </a:extLst>
        </xdr:cNvPr>
        <xdr:cNvCxnSpPr>
          <a:stCxn id="107" idx="5"/>
          <a:endCxn id="132" idx="1"/>
        </xdr:cNvCxnSpPr>
      </xdr:nvCxnSpPr>
      <xdr:spPr>
        <a:xfrm>
          <a:off x="12857991" y="5342766"/>
          <a:ext cx="1258818" cy="9063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229359</xdr:colOff>
      <xdr:row>27</xdr:row>
      <xdr:rowOff>94491</xdr:rowOff>
    </xdr:from>
    <xdr:to>
      <xdr:col>21</xdr:col>
      <xdr:colOff>400050</xdr:colOff>
      <xdr:row>31</xdr:row>
      <xdr:rowOff>76200</xdr:rowOff>
    </xdr:to>
    <xdr:cxnSp macro="">
      <xdr:nvCxnSpPr>
        <xdr:cNvPr id="145" name="Прямая со стрелкой 144">
          <a:extLst>
            <a:ext uri="{FF2B5EF4-FFF2-40B4-BE49-F238E27FC236}">
              <a16:creationId xmlns:a16="http://schemas.microsoft.com/office/drawing/2014/main" id="{478145D8-6F38-4966-BD67-6391528A5BC2}"/>
            </a:ext>
          </a:extLst>
        </xdr:cNvPr>
        <xdr:cNvCxnSpPr>
          <a:stCxn id="109" idx="3"/>
          <a:endCxn id="132" idx="0"/>
        </xdr:cNvCxnSpPr>
      </xdr:nvCxnSpPr>
      <xdr:spPr>
        <a:xfrm>
          <a:off x="13526259" y="5447541"/>
          <a:ext cx="780291" cy="7437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608841</xdr:colOff>
      <xdr:row>15</xdr:row>
      <xdr:rowOff>57150</xdr:rowOff>
    </xdr:from>
    <xdr:to>
      <xdr:col>22</xdr:col>
      <xdr:colOff>66675</xdr:colOff>
      <xdr:row>31</xdr:row>
      <xdr:rowOff>162684</xdr:rowOff>
    </xdr:to>
    <xdr:cxnSp macro="">
      <xdr:nvCxnSpPr>
        <xdr:cNvPr id="154" name="Прямая со стрелкой 153">
          <a:extLst>
            <a:ext uri="{FF2B5EF4-FFF2-40B4-BE49-F238E27FC236}">
              <a16:creationId xmlns:a16="http://schemas.microsoft.com/office/drawing/2014/main" id="{50204DF6-281F-40F6-8AE4-FB9F2DA8FA6E}"/>
            </a:ext>
          </a:extLst>
        </xdr:cNvPr>
        <xdr:cNvCxnSpPr>
          <a:cxnSpLocks/>
          <a:stCxn id="132" idx="7"/>
          <a:endCxn id="197" idx="4"/>
        </xdr:cNvCxnSpPr>
      </xdr:nvCxnSpPr>
      <xdr:spPr>
        <a:xfrm flipV="1">
          <a:off x="14534391" y="3124200"/>
          <a:ext cx="67434" cy="31249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19050</xdr:colOff>
      <xdr:row>30</xdr:row>
      <xdr:rowOff>95250</xdr:rowOff>
    </xdr:from>
    <xdr:ext cx="462563" cy="311496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0D1A017-E29C-4E4B-8C2B-679012924533}"/>
            </a:ext>
          </a:extLst>
        </xdr:cNvPr>
        <xdr:cNvSpPr txBox="1"/>
      </xdr:nvSpPr>
      <xdr:spPr>
        <a:xfrm>
          <a:off x="14535150" y="6019800"/>
          <a:ext cx="46256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К=1</a:t>
          </a:r>
        </a:p>
      </xdr:txBody>
    </xdr:sp>
    <xdr:clientData/>
  </xdr:oneCellAnchor>
  <xdr:twoCellAnchor>
    <xdr:from>
      <xdr:col>15</xdr:col>
      <xdr:colOff>28575</xdr:colOff>
      <xdr:row>8</xdr:row>
      <xdr:rowOff>28575</xdr:rowOff>
    </xdr:from>
    <xdr:to>
      <xdr:col>16</xdr:col>
      <xdr:colOff>9525</xdr:colOff>
      <xdr:row>11</xdr:row>
      <xdr:rowOff>47625</xdr:rowOff>
    </xdr:to>
    <xdr:sp macro="" textlink="">
      <xdr:nvSpPr>
        <xdr:cNvPr id="163" name="Овал 162">
          <a:extLst>
            <a:ext uri="{FF2B5EF4-FFF2-40B4-BE49-F238E27FC236}">
              <a16:creationId xmlns:a16="http://schemas.microsoft.com/office/drawing/2014/main" id="{4ADBB93B-FD49-4583-B38B-B148920CE472}"/>
            </a:ext>
          </a:extLst>
        </xdr:cNvPr>
        <xdr:cNvSpPr/>
      </xdr:nvSpPr>
      <xdr:spPr>
        <a:xfrm>
          <a:off x="10277475" y="17621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15</a:t>
          </a:r>
        </a:p>
      </xdr:txBody>
    </xdr:sp>
    <xdr:clientData/>
  </xdr:twoCellAnchor>
  <xdr:twoCellAnchor>
    <xdr:from>
      <xdr:col>13</xdr:col>
      <xdr:colOff>457200</xdr:colOff>
      <xdr:row>10</xdr:row>
      <xdr:rowOff>151641</xdr:rowOff>
    </xdr:from>
    <xdr:to>
      <xdr:col>15</xdr:col>
      <xdr:colOff>115059</xdr:colOff>
      <xdr:row>16</xdr:row>
      <xdr:rowOff>0</xdr:rowOff>
    </xdr:to>
    <xdr:cxnSp macro="">
      <xdr:nvCxnSpPr>
        <xdr:cNvPr id="164" name="Прямая со стрелкой 163">
          <a:extLst>
            <a:ext uri="{FF2B5EF4-FFF2-40B4-BE49-F238E27FC236}">
              <a16:creationId xmlns:a16="http://schemas.microsoft.com/office/drawing/2014/main" id="{6A61DED3-EBAB-4573-87AC-E8911B05647E}"/>
            </a:ext>
          </a:extLst>
        </xdr:cNvPr>
        <xdr:cNvCxnSpPr>
          <a:stCxn id="52" idx="0"/>
          <a:endCxn id="163" idx="3"/>
        </xdr:cNvCxnSpPr>
      </xdr:nvCxnSpPr>
      <xdr:spPr>
        <a:xfrm flipV="1">
          <a:off x="9486900" y="2266191"/>
          <a:ext cx="877059" cy="9913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400050</xdr:colOff>
      <xdr:row>12</xdr:row>
      <xdr:rowOff>104775</xdr:rowOff>
    </xdr:from>
    <xdr:ext cx="590550" cy="311496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5DEE4C4-4A2D-4354-966C-AFE6C3CCD80D}"/>
            </a:ext>
          </a:extLst>
        </xdr:cNvPr>
        <xdr:cNvSpPr txBox="1"/>
      </xdr:nvSpPr>
      <xdr:spPr>
        <a:xfrm>
          <a:off x="9429750" y="260032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Л=3</a:t>
          </a:r>
        </a:p>
      </xdr:txBody>
    </xdr:sp>
    <xdr:clientData/>
  </xdr:oneCellAnchor>
  <xdr:twoCellAnchor>
    <xdr:from>
      <xdr:col>15</xdr:col>
      <xdr:colOff>532641</xdr:colOff>
      <xdr:row>8</xdr:row>
      <xdr:rowOff>115059</xdr:rowOff>
    </xdr:from>
    <xdr:to>
      <xdr:col>21</xdr:col>
      <xdr:colOff>467484</xdr:colOff>
      <xdr:row>12</xdr:row>
      <xdr:rowOff>124584</xdr:rowOff>
    </xdr:to>
    <xdr:cxnSp macro="">
      <xdr:nvCxnSpPr>
        <xdr:cNvPr id="170" name="Прямая со стрелкой 169">
          <a:extLst>
            <a:ext uri="{FF2B5EF4-FFF2-40B4-BE49-F238E27FC236}">
              <a16:creationId xmlns:a16="http://schemas.microsoft.com/office/drawing/2014/main" id="{B58E9C4F-345D-4155-9D20-68FCA11CB653}"/>
            </a:ext>
          </a:extLst>
        </xdr:cNvPr>
        <xdr:cNvCxnSpPr>
          <a:cxnSpLocks/>
          <a:stCxn id="163" idx="7"/>
          <a:endCxn id="197" idx="1"/>
        </xdr:cNvCxnSpPr>
      </xdr:nvCxnSpPr>
      <xdr:spPr>
        <a:xfrm>
          <a:off x="10781541" y="1848609"/>
          <a:ext cx="3592443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180975</xdr:colOff>
      <xdr:row>7</xdr:row>
      <xdr:rowOff>85725</xdr:rowOff>
    </xdr:from>
    <xdr:ext cx="590550" cy="311496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BD1D35E-0ABA-4EE5-A87D-F7AFE787E41D}"/>
            </a:ext>
          </a:extLst>
        </xdr:cNvPr>
        <xdr:cNvSpPr txBox="1"/>
      </xdr:nvSpPr>
      <xdr:spPr>
        <a:xfrm>
          <a:off x="11039475" y="162877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М=7</a:t>
          </a:r>
        </a:p>
      </xdr:txBody>
    </xdr:sp>
    <xdr:clientData/>
  </xdr:oneCellAnchor>
  <xdr:twoCellAnchor>
    <xdr:from>
      <xdr:col>16</xdr:col>
      <xdr:colOff>542925</xdr:colOff>
      <xdr:row>13</xdr:row>
      <xdr:rowOff>38100</xdr:rowOff>
    </xdr:from>
    <xdr:to>
      <xdr:col>17</xdr:col>
      <xdr:colOff>600075</xdr:colOff>
      <xdr:row>13</xdr:row>
      <xdr:rowOff>171450</xdr:rowOff>
    </xdr:to>
    <xdr:cxnSp macro="">
      <xdr:nvCxnSpPr>
        <xdr:cNvPr id="179" name="Прямая со стрелкой 178">
          <a:extLst>
            <a:ext uri="{FF2B5EF4-FFF2-40B4-BE49-F238E27FC236}">
              <a16:creationId xmlns:a16="http://schemas.microsoft.com/office/drawing/2014/main" id="{4486D110-2D61-438B-9355-66D5E9ADEE26}"/>
            </a:ext>
          </a:extLst>
        </xdr:cNvPr>
        <xdr:cNvCxnSpPr>
          <a:stCxn id="27" idx="6"/>
          <a:endCxn id="182" idx="2"/>
        </xdr:cNvCxnSpPr>
      </xdr:nvCxnSpPr>
      <xdr:spPr>
        <a:xfrm>
          <a:off x="11401425" y="2724150"/>
          <a:ext cx="666750" cy="1333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600075</xdr:colOff>
      <xdr:row>12</xdr:row>
      <xdr:rowOff>66675</xdr:rowOff>
    </xdr:from>
    <xdr:to>
      <xdr:col>18</xdr:col>
      <xdr:colOff>581025</xdr:colOff>
      <xdr:row>15</xdr:row>
      <xdr:rowOff>85725</xdr:rowOff>
    </xdr:to>
    <xdr:sp macro="" textlink="">
      <xdr:nvSpPr>
        <xdr:cNvPr id="182" name="Овал 181">
          <a:extLst>
            <a:ext uri="{FF2B5EF4-FFF2-40B4-BE49-F238E27FC236}">
              <a16:creationId xmlns:a16="http://schemas.microsoft.com/office/drawing/2014/main" id="{CA913F4F-A736-4E86-96EA-A44A03BD006B}"/>
            </a:ext>
          </a:extLst>
        </xdr:cNvPr>
        <xdr:cNvSpPr/>
      </xdr:nvSpPr>
      <xdr:spPr>
        <a:xfrm>
          <a:off x="12068175" y="25622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16</a:t>
          </a:r>
        </a:p>
      </xdr:txBody>
    </xdr:sp>
    <xdr:clientData/>
  </xdr:twoCellAnchor>
  <xdr:twoCellAnchor>
    <xdr:from>
      <xdr:col>16</xdr:col>
      <xdr:colOff>570741</xdr:colOff>
      <xdr:row>14</xdr:row>
      <xdr:rowOff>189741</xdr:rowOff>
    </xdr:from>
    <xdr:to>
      <xdr:col>18</xdr:col>
      <xdr:colOff>76959</xdr:colOff>
      <xdr:row>16</xdr:row>
      <xdr:rowOff>67434</xdr:rowOff>
    </xdr:to>
    <xdr:cxnSp macro="">
      <xdr:nvCxnSpPr>
        <xdr:cNvPr id="184" name="Прямая со стрелкой 183">
          <a:extLst>
            <a:ext uri="{FF2B5EF4-FFF2-40B4-BE49-F238E27FC236}">
              <a16:creationId xmlns:a16="http://schemas.microsoft.com/office/drawing/2014/main" id="{79777C73-32B0-4CB3-AD1D-FA3A1E0A6799}"/>
            </a:ext>
          </a:extLst>
        </xdr:cNvPr>
        <xdr:cNvCxnSpPr>
          <a:stCxn id="68" idx="7"/>
          <a:endCxn id="182" idx="3"/>
        </xdr:cNvCxnSpPr>
      </xdr:nvCxnSpPr>
      <xdr:spPr>
        <a:xfrm flipV="1">
          <a:off x="11429241" y="3066291"/>
          <a:ext cx="725418" cy="2586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15</xdr:row>
      <xdr:rowOff>85725</xdr:rowOff>
    </xdr:from>
    <xdr:to>
      <xdr:col>18</xdr:col>
      <xdr:colOff>285750</xdr:colOff>
      <xdr:row>22</xdr:row>
      <xdr:rowOff>133350</xdr:rowOff>
    </xdr:to>
    <xdr:cxnSp macro="">
      <xdr:nvCxnSpPr>
        <xdr:cNvPr id="187" name="Прямая со стрелкой 186">
          <a:extLst>
            <a:ext uri="{FF2B5EF4-FFF2-40B4-BE49-F238E27FC236}">
              <a16:creationId xmlns:a16="http://schemas.microsoft.com/office/drawing/2014/main" id="{ED8180BC-1E30-47B7-A57D-4FF3DC855BD2}"/>
            </a:ext>
          </a:extLst>
        </xdr:cNvPr>
        <xdr:cNvCxnSpPr>
          <a:stCxn id="40" idx="0"/>
          <a:endCxn id="182" idx="4"/>
        </xdr:cNvCxnSpPr>
      </xdr:nvCxnSpPr>
      <xdr:spPr>
        <a:xfrm flipV="1">
          <a:off x="11772900" y="3152775"/>
          <a:ext cx="590550" cy="13811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581025</xdr:colOff>
      <xdr:row>13</xdr:row>
      <xdr:rowOff>142875</xdr:rowOff>
    </xdr:from>
    <xdr:to>
      <xdr:col>21</xdr:col>
      <xdr:colOff>381000</xdr:colOff>
      <xdr:row>13</xdr:row>
      <xdr:rowOff>171450</xdr:rowOff>
    </xdr:to>
    <xdr:cxnSp macro="">
      <xdr:nvCxnSpPr>
        <xdr:cNvPr id="193" name="Прямая со стрелкой 192">
          <a:extLst>
            <a:ext uri="{FF2B5EF4-FFF2-40B4-BE49-F238E27FC236}">
              <a16:creationId xmlns:a16="http://schemas.microsoft.com/office/drawing/2014/main" id="{5C1666C3-2CA5-4450-80AB-65F606B41270}"/>
            </a:ext>
          </a:extLst>
        </xdr:cNvPr>
        <xdr:cNvCxnSpPr>
          <a:stCxn id="182" idx="6"/>
          <a:endCxn id="197" idx="2"/>
        </xdr:cNvCxnSpPr>
      </xdr:nvCxnSpPr>
      <xdr:spPr>
        <a:xfrm flipV="1">
          <a:off x="12658725" y="2828925"/>
          <a:ext cx="16287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28575</xdr:colOff>
      <xdr:row>12</xdr:row>
      <xdr:rowOff>66675</xdr:rowOff>
    </xdr:from>
    <xdr:ext cx="590550" cy="311496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8E29474D-749D-4209-8374-4221BC717887}"/>
            </a:ext>
          </a:extLst>
        </xdr:cNvPr>
        <xdr:cNvSpPr txBox="1"/>
      </xdr:nvSpPr>
      <xdr:spPr>
        <a:xfrm>
          <a:off x="12715875" y="256222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О=8</a:t>
          </a:r>
        </a:p>
      </xdr:txBody>
    </xdr:sp>
    <xdr:clientData/>
  </xdr:oneCellAnchor>
  <xdr:twoCellAnchor>
    <xdr:from>
      <xdr:col>21</xdr:col>
      <xdr:colOff>381000</xdr:colOff>
      <xdr:row>12</xdr:row>
      <xdr:rowOff>38100</xdr:rowOff>
    </xdr:from>
    <xdr:to>
      <xdr:col>22</xdr:col>
      <xdr:colOff>361950</xdr:colOff>
      <xdr:row>15</xdr:row>
      <xdr:rowOff>57150</xdr:rowOff>
    </xdr:to>
    <xdr:sp macro="" textlink="">
      <xdr:nvSpPr>
        <xdr:cNvPr id="197" name="Овал 196">
          <a:extLst>
            <a:ext uri="{FF2B5EF4-FFF2-40B4-BE49-F238E27FC236}">
              <a16:creationId xmlns:a16="http://schemas.microsoft.com/office/drawing/2014/main" id="{FA9AEC1B-80F2-4F2B-9FE6-D2393E0E61C6}"/>
            </a:ext>
          </a:extLst>
        </xdr:cNvPr>
        <xdr:cNvSpPr/>
      </xdr:nvSpPr>
      <xdr:spPr>
        <a:xfrm>
          <a:off x="14287500" y="25336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16</xdr:row>
      <xdr:rowOff>47625</xdr:rowOff>
    </xdr:from>
    <xdr:to>
      <xdr:col>12</xdr:col>
      <xdr:colOff>581025</xdr:colOff>
      <xdr:row>19</xdr:row>
      <xdr:rowOff>66675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128C6814-8B43-44A2-B624-5041D1878AF4}"/>
            </a:ext>
          </a:extLst>
        </xdr:cNvPr>
        <xdr:cNvSpPr/>
      </xdr:nvSpPr>
      <xdr:spPr>
        <a:xfrm>
          <a:off x="5114925" y="44196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</a:p>
      </xdr:txBody>
    </xdr:sp>
    <xdr:clientData/>
  </xdr:twoCellAnchor>
  <xdr:twoCellAnchor>
    <xdr:from>
      <xdr:col>12</xdr:col>
      <xdr:colOff>581025</xdr:colOff>
      <xdr:row>11</xdr:row>
      <xdr:rowOff>123825</xdr:rowOff>
    </xdr:from>
    <xdr:to>
      <xdr:col>15</xdr:col>
      <xdr:colOff>142875</xdr:colOff>
      <xdr:row>17</xdr:row>
      <xdr:rowOff>152400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B146D94B-2F51-4316-AD0F-49EEB2591736}"/>
            </a:ext>
          </a:extLst>
        </xdr:cNvPr>
        <xdr:cNvCxnSpPr>
          <a:stCxn id="2" idx="6"/>
          <a:endCxn id="5" idx="2"/>
        </xdr:cNvCxnSpPr>
      </xdr:nvCxnSpPr>
      <xdr:spPr>
        <a:xfrm flipV="1">
          <a:off x="5705475" y="3571875"/>
          <a:ext cx="1743075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17</xdr:row>
      <xdr:rowOff>152400</xdr:rowOff>
    </xdr:from>
    <xdr:to>
      <xdr:col>15</xdr:col>
      <xdr:colOff>523875</xdr:colOff>
      <xdr:row>18</xdr:row>
      <xdr:rowOff>57150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D98ED704-2739-42E3-8FAC-3F17CF8253B5}"/>
            </a:ext>
          </a:extLst>
        </xdr:cNvPr>
        <xdr:cNvCxnSpPr>
          <a:stCxn id="2" idx="6"/>
          <a:endCxn id="6" idx="2"/>
        </xdr:cNvCxnSpPr>
      </xdr:nvCxnSpPr>
      <xdr:spPr>
        <a:xfrm>
          <a:off x="5705475" y="4714875"/>
          <a:ext cx="2124075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142875</xdr:colOff>
      <xdr:row>10</xdr:row>
      <xdr:rowOff>19050</xdr:rowOff>
    </xdr:from>
    <xdr:to>
      <xdr:col>16</xdr:col>
      <xdr:colOff>123825</xdr:colOff>
      <xdr:row>13</xdr:row>
      <xdr:rowOff>38100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FB5CDFFF-E96D-4465-AEBD-00BDFEBF7C69}"/>
            </a:ext>
          </a:extLst>
        </xdr:cNvPr>
        <xdr:cNvSpPr/>
      </xdr:nvSpPr>
      <xdr:spPr>
        <a:xfrm>
          <a:off x="7448550" y="3276600"/>
          <a:ext cx="590550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2</a:t>
          </a:r>
        </a:p>
      </xdr:txBody>
    </xdr:sp>
    <xdr:clientData/>
  </xdr:twoCellAnchor>
  <xdr:twoCellAnchor>
    <xdr:from>
      <xdr:col>15</xdr:col>
      <xdr:colOff>523875</xdr:colOff>
      <xdr:row>16</xdr:row>
      <xdr:rowOff>142875</xdr:rowOff>
    </xdr:from>
    <xdr:to>
      <xdr:col>16</xdr:col>
      <xdr:colOff>504825</xdr:colOff>
      <xdr:row>19</xdr:row>
      <xdr:rowOff>161925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C385044B-58DE-4DBF-B1D9-E344A1A9176D}"/>
            </a:ext>
          </a:extLst>
        </xdr:cNvPr>
        <xdr:cNvSpPr/>
      </xdr:nvSpPr>
      <xdr:spPr>
        <a:xfrm>
          <a:off x="7829550" y="45148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3</a:t>
          </a:r>
        </a:p>
      </xdr:txBody>
    </xdr:sp>
    <xdr:clientData/>
  </xdr:twoCellAnchor>
  <xdr:oneCellAnchor>
    <xdr:from>
      <xdr:col>13</xdr:col>
      <xdr:colOff>314325</xdr:colOff>
      <xdr:row>12</xdr:row>
      <xdr:rowOff>180975</xdr:rowOff>
    </xdr:from>
    <xdr:ext cx="468975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6591B0-65C8-4B00-A491-560D3C10200E}"/>
            </a:ext>
          </a:extLst>
        </xdr:cNvPr>
        <xdr:cNvSpPr txBox="1"/>
      </xdr:nvSpPr>
      <xdr:spPr>
        <a:xfrm>
          <a:off x="6162675" y="3790950"/>
          <a:ext cx="4689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А=4</a:t>
          </a:r>
        </a:p>
      </xdr:txBody>
    </xdr:sp>
    <xdr:clientData/>
  </xdr:oneCellAnchor>
  <xdr:oneCellAnchor>
    <xdr:from>
      <xdr:col>13</xdr:col>
      <xdr:colOff>219075</xdr:colOff>
      <xdr:row>21</xdr:row>
      <xdr:rowOff>19050</xdr:rowOff>
    </xdr:from>
    <xdr:ext cx="450123" cy="31149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D90B78-7F5E-4F8D-9ED2-6626A9BDA509}"/>
            </a:ext>
          </a:extLst>
        </xdr:cNvPr>
        <xdr:cNvSpPr txBox="1"/>
      </xdr:nvSpPr>
      <xdr:spPr>
        <a:xfrm>
          <a:off x="6067425" y="5343525"/>
          <a:ext cx="4501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З=5</a:t>
          </a:r>
        </a:p>
      </xdr:txBody>
    </xdr:sp>
    <xdr:clientData/>
  </xdr:oneCellAnchor>
  <xdr:twoCellAnchor>
    <xdr:from>
      <xdr:col>12</xdr:col>
      <xdr:colOff>581025</xdr:colOff>
      <xdr:row>17</xdr:row>
      <xdr:rowOff>152400</xdr:rowOff>
    </xdr:from>
    <xdr:to>
      <xdr:col>14</xdr:col>
      <xdr:colOff>581784</xdr:colOff>
      <xdr:row>25</xdr:row>
      <xdr:rowOff>29334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DA928863-1B19-4E23-83E9-854090BCFC64}"/>
            </a:ext>
          </a:extLst>
        </xdr:cNvPr>
        <xdr:cNvCxnSpPr>
          <a:stCxn id="2" idx="6"/>
          <a:endCxn id="35" idx="1"/>
        </xdr:cNvCxnSpPr>
      </xdr:nvCxnSpPr>
      <xdr:spPr>
        <a:xfrm>
          <a:off x="5705475" y="4714875"/>
          <a:ext cx="1572384" cy="14009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419100</xdr:colOff>
      <xdr:row>16</xdr:row>
      <xdr:rowOff>142875</xdr:rowOff>
    </xdr:from>
    <xdr:ext cx="461601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B5BD439-4B16-419A-A483-1520064FD8C3}"/>
            </a:ext>
          </a:extLst>
        </xdr:cNvPr>
        <xdr:cNvSpPr txBox="1"/>
      </xdr:nvSpPr>
      <xdr:spPr>
        <a:xfrm>
          <a:off x="7115175" y="4514850"/>
          <a:ext cx="46160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Б=2</a:t>
          </a:r>
        </a:p>
      </xdr:txBody>
    </xdr:sp>
    <xdr:clientData/>
  </xdr:oneCellAnchor>
  <xdr:twoCellAnchor>
    <xdr:from>
      <xdr:col>19</xdr:col>
      <xdr:colOff>561975</xdr:colOff>
      <xdr:row>5</xdr:row>
      <xdr:rowOff>123825</xdr:rowOff>
    </xdr:from>
    <xdr:to>
      <xdr:col>20</xdr:col>
      <xdr:colOff>542925</xdr:colOff>
      <xdr:row>8</xdr:row>
      <xdr:rowOff>142875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9262F2D9-A298-4C6E-BC23-E99D594AA0B4}"/>
            </a:ext>
          </a:extLst>
        </xdr:cNvPr>
        <xdr:cNvSpPr/>
      </xdr:nvSpPr>
      <xdr:spPr>
        <a:xfrm>
          <a:off x="10306050" y="24288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10</a:t>
          </a:r>
        </a:p>
      </xdr:txBody>
    </xdr:sp>
    <xdr:clientData/>
  </xdr:twoCellAnchor>
  <xdr:twoCellAnchor>
    <xdr:from>
      <xdr:col>16</xdr:col>
      <xdr:colOff>504825</xdr:colOff>
      <xdr:row>18</xdr:row>
      <xdr:rowOff>57150</xdr:rowOff>
    </xdr:from>
    <xdr:to>
      <xdr:col>18</xdr:col>
      <xdr:colOff>295275</xdr:colOff>
      <xdr:row>18</xdr:row>
      <xdr:rowOff>66675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CB06C009-EB65-432A-8FA3-81354C5B7EDB}"/>
            </a:ext>
          </a:extLst>
        </xdr:cNvPr>
        <xdr:cNvCxnSpPr>
          <a:stCxn id="6" idx="6"/>
          <a:endCxn id="13" idx="2"/>
        </xdr:cNvCxnSpPr>
      </xdr:nvCxnSpPr>
      <xdr:spPr>
        <a:xfrm>
          <a:off x="8420100" y="4810125"/>
          <a:ext cx="1009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295275</xdr:colOff>
      <xdr:row>16</xdr:row>
      <xdr:rowOff>152400</xdr:rowOff>
    </xdr:from>
    <xdr:to>
      <xdr:col>19</xdr:col>
      <xdr:colOff>276225</xdr:colOff>
      <xdr:row>19</xdr:row>
      <xdr:rowOff>171450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15CD7527-4DA9-4376-B612-C0534746971B}"/>
            </a:ext>
          </a:extLst>
        </xdr:cNvPr>
        <xdr:cNvSpPr/>
      </xdr:nvSpPr>
      <xdr:spPr>
        <a:xfrm>
          <a:off x="9429750" y="45243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4</a:t>
          </a:r>
        </a:p>
      </xdr:txBody>
    </xdr:sp>
    <xdr:clientData/>
  </xdr:twoCellAnchor>
  <xdr:oneCellAnchor>
    <xdr:from>
      <xdr:col>17</xdr:col>
      <xdr:colOff>142875</xdr:colOff>
      <xdr:row>16</xdr:row>
      <xdr:rowOff>180975</xdr:rowOff>
    </xdr:from>
    <xdr:ext cx="462755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444D3EE-7702-4145-86A2-92458D4601A1}"/>
            </a:ext>
          </a:extLst>
        </xdr:cNvPr>
        <xdr:cNvSpPr txBox="1"/>
      </xdr:nvSpPr>
      <xdr:spPr>
        <a:xfrm>
          <a:off x="8667750" y="4552950"/>
          <a:ext cx="46275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В=7</a:t>
          </a:r>
        </a:p>
      </xdr:txBody>
    </xdr:sp>
    <xdr:clientData/>
  </xdr:oneCellAnchor>
  <xdr:twoCellAnchor>
    <xdr:from>
      <xdr:col>19</xdr:col>
      <xdr:colOff>276225</xdr:colOff>
      <xdr:row>18</xdr:row>
      <xdr:rowOff>47625</xdr:rowOff>
    </xdr:from>
    <xdr:to>
      <xdr:col>21</xdr:col>
      <xdr:colOff>9525</xdr:colOff>
      <xdr:row>18</xdr:row>
      <xdr:rowOff>66675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CB3E9F03-4D8F-4670-83DF-676594638255}"/>
            </a:ext>
          </a:extLst>
        </xdr:cNvPr>
        <xdr:cNvCxnSpPr>
          <a:stCxn id="13" idx="6"/>
          <a:endCxn id="16" idx="2"/>
        </xdr:cNvCxnSpPr>
      </xdr:nvCxnSpPr>
      <xdr:spPr>
        <a:xfrm flipV="1">
          <a:off x="10020300" y="4800600"/>
          <a:ext cx="952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16</xdr:row>
      <xdr:rowOff>133350</xdr:rowOff>
    </xdr:from>
    <xdr:to>
      <xdr:col>21</xdr:col>
      <xdr:colOff>600075</xdr:colOff>
      <xdr:row>19</xdr:row>
      <xdr:rowOff>152400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4E06D3B5-E914-4E5E-84C0-6AFCDE98A756}"/>
            </a:ext>
          </a:extLst>
        </xdr:cNvPr>
        <xdr:cNvSpPr/>
      </xdr:nvSpPr>
      <xdr:spPr>
        <a:xfrm>
          <a:off x="10972800" y="45053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5</a:t>
          </a:r>
        </a:p>
      </xdr:txBody>
    </xdr:sp>
    <xdr:clientData/>
  </xdr:twoCellAnchor>
  <xdr:oneCellAnchor>
    <xdr:from>
      <xdr:col>19</xdr:col>
      <xdr:colOff>495300</xdr:colOff>
      <xdr:row>16</xdr:row>
      <xdr:rowOff>161925</xdr:rowOff>
    </xdr:from>
    <xdr:ext cx="442237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1ACD52E-8893-467F-990F-E8FE890090BD}"/>
            </a:ext>
          </a:extLst>
        </xdr:cNvPr>
        <xdr:cNvSpPr txBox="1"/>
      </xdr:nvSpPr>
      <xdr:spPr>
        <a:xfrm>
          <a:off x="10239375" y="4533900"/>
          <a:ext cx="44223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Г=8</a:t>
          </a:r>
        </a:p>
      </xdr:txBody>
    </xdr:sp>
    <xdr:clientData/>
  </xdr:oneCellAnchor>
  <xdr:twoCellAnchor>
    <xdr:from>
      <xdr:col>16</xdr:col>
      <xdr:colOff>123825</xdr:colOff>
      <xdr:row>11</xdr:row>
      <xdr:rowOff>104775</xdr:rowOff>
    </xdr:from>
    <xdr:to>
      <xdr:col>17</xdr:col>
      <xdr:colOff>161925</xdr:colOff>
      <xdr:row>11</xdr:row>
      <xdr:rowOff>123825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BEAC7E00-0123-4ADA-8FF5-A0027901170C}"/>
            </a:ext>
          </a:extLst>
        </xdr:cNvPr>
        <xdr:cNvCxnSpPr>
          <a:stCxn id="5" idx="6"/>
          <a:endCxn id="20" idx="2"/>
        </xdr:cNvCxnSpPr>
      </xdr:nvCxnSpPr>
      <xdr:spPr>
        <a:xfrm flipV="1">
          <a:off x="8039100" y="3552825"/>
          <a:ext cx="647700" cy="190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418341</xdr:colOff>
      <xdr:row>12</xdr:row>
      <xdr:rowOff>123066</xdr:rowOff>
    </xdr:from>
    <xdr:to>
      <xdr:col>17</xdr:col>
      <xdr:colOff>248409</xdr:colOff>
      <xdr:row>17</xdr:row>
      <xdr:rowOff>38859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C7FCB312-6D9E-44EA-9356-7B2F2E1BE70D}"/>
            </a:ext>
          </a:extLst>
        </xdr:cNvPr>
        <xdr:cNvCxnSpPr>
          <a:stCxn id="6" idx="7"/>
          <a:endCxn id="20" idx="3"/>
        </xdr:cNvCxnSpPr>
      </xdr:nvCxnSpPr>
      <xdr:spPr>
        <a:xfrm flipV="1">
          <a:off x="8333616" y="3733041"/>
          <a:ext cx="439668" cy="8682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161925</xdr:colOff>
      <xdr:row>10</xdr:row>
      <xdr:rowOff>0</xdr:rowOff>
    </xdr:from>
    <xdr:to>
      <xdr:col>18</xdr:col>
      <xdr:colOff>142875</xdr:colOff>
      <xdr:row>13</xdr:row>
      <xdr:rowOff>19050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D5A7BD21-5A8A-4ECA-8BD2-8E00335754B6}"/>
            </a:ext>
          </a:extLst>
        </xdr:cNvPr>
        <xdr:cNvSpPr/>
      </xdr:nvSpPr>
      <xdr:spPr>
        <a:xfrm>
          <a:off x="8686800" y="3257550"/>
          <a:ext cx="590550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6</a:t>
          </a:r>
        </a:p>
      </xdr:txBody>
    </xdr:sp>
    <xdr:clientData/>
  </xdr:twoCellAnchor>
  <xdr:twoCellAnchor>
    <xdr:from>
      <xdr:col>18</xdr:col>
      <xdr:colOff>142875</xdr:colOff>
      <xdr:row>11</xdr:row>
      <xdr:rowOff>85725</xdr:rowOff>
    </xdr:from>
    <xdr:to>
      <xdr:col>20</xdr:col>
      <xdr:colOff>66675</xdr:colOff>
      <xdr:row>11</xdr:row>
      <xdr:rowOff>104775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139DFA98-5CA5-4F05-ACF9-94D8D7CB48C6}"/>
            </a:ext>
          </a:extLst>
        </xdr:cNvPr>
        <xdr:cNvCxnSpPr>
          <a:stCxn id="20" idx="6"/>
          <a:endCxn id="23" idx="2"/>
        </xdr:cNvCxnSpPr>
      </xdr:nvCxnSpPr>
      <xdr:spPr>
        <a:xfrm flipV="1">
          <a:off x="9277350" y="3533775"/>
          <a:ext cx="1143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381000</xdr:colOff>
      <xdr:row>10</xdr:row>
      <xdr:rowOff>19050</xdr:rowOff>
    </xdr:from>
    <xdr:ext cx="590550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0166765-B1F4-4840-A554-918597F5DDB4}"/>
            </a:ext>
          </a:extLst>
        </xdr:cNvPr>
        <xdr:cNvSpPr txBox="1"/>
      </xdr:nvSpPr>
      <xdr:spPr>
        <a:xfrm>
          <a:off x="9515475" y="327660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Д=5</a:t>
          </a:r>
        </a:p>
      </xdr:txBody>
    </xdr:sp>
    <xdr:clientData/>
  </xdr:oneCellAnchor>
  <xdr:twoCellAnchor>
    <xdr:from>
      <xdr:col>20</xdr:col>
      <xdr:colOff>66675</xdr:colOff>
      <xdr:row>9</xdr:row>
      <xdr:rowOff>171450</xdr:rowOff>
    </xdr:from>
    <xdr:to>
      <xdr:col>21</xdr:col>
      <xdr:colOff>47625</xdr:colOff>
      <xdr:row>13</xdr:row>
      <xdr:rowOff>0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F046F868-F9EE-45D5-8FD8-757BCA4ED87D}"/>
            </a:ext>
          </a:extLst>
        </xdr:cNvPr>
        <xdr:cNvSpPr/>
      </xdr:nvSpPr>
      <xdr:spPr>
        <a:xfrm>
          <a:off x="10420350" y="3238500"/>
          <a:ext cx="590550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7</a:t>
          </a:r>
        </a:p>
      </xdr:txBody>
    </xdr:sp>
    <xdr:clientData/>
  </xdr:twoCellAnchor>
  <xdr:twoCellAnchor>
    <xdr:from>
      <xdr:col>21</xdr:col>
      <xdr:colOff>47625</xdr:colOff>
      <xdr:row>11</xdr:row>
      <xdr:rowOff>85725</xdr:rowOff>
    </xdr:from>
    <xdr:to>
      <xdr:col>22</xdr:col>
      <xdr:colOff>257175</xdr:colOff>
      <xdr:row>13</xdr:row>
      <xdr:rowOff>161925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E7CE12B8-06B7-42C2-9B95-5D21D2283138}"/>
            </a:ext>
          </a:extLst>
        </xdr:cNvPr>
        <xdr:cNvCxnSpPr>
          <a:stCxn id="23" idx="6"/>
          <a:endCxn id="26" idx="2"/>
        </xdr:cNvCxnSpPr>
      </xdr:nvCxnSpPr>
      <xdr:spPr>
        <a:xfrm>
          <a:off x="11010900" y="3533775"/>
          <a:ext cx="819150" cy="4286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600075</xdr:colOff>
      <xdr:row>14</xdr:row>
      <xdr:rowOff>180216</xdr:rowOff>
    </xdr:from>
    <xdr:to>
      <xdr:col>22</xdr:col>
      <xdr:colOff>343659</xdr:colOff>
      <xdr:row>18</xdr:row>
      <xdr:rowOff>47625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80157998-F898-4208-BEEC-0E0BDC7B7F5F}"/>
            </a:ext>
          </a:extLst>
        </xdr:cNvPr>
        <xdr:cNvCxnSpPr>
          <a:stCxn id="16" idx="6"/>
          <a:endCxn id="26" idx="3"/>
        </xdr:cNvCxnSpPr>
      </xdr:nvCxnSpPr>
      <xdr:spPr>
        <a:xfrm flipV="1">
          <a:off x="11563350" y="4171191"/>
          <a:ext cx="353184" cy="6294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257175</xdr:colOff>
      <xdr:row>12</xdr:row>
      <xdr:rowOff>57150</xdr:rowOff>
    </xdr:from>
    <xdr:to>
      <xdr:col>23</xdr:col>
      <xdr:colOff>238125</xdr:colOff>
      <xdr:row>15</xdr:row>
      <xdr:rowOff>76200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F398863A-13F0-4787-AC6F-BE0174C5FF1C}"/>
            </a:ext>
          </a:extLst>
        </xdr:cNvPr>
        <xdr:cNvSpPr/>
      </xdr:nvSpPr>
      <xdr:spPr>
        <a:xfrm>
          <a:off x="11830050" y="36671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8</a:t>
          </a:r>
        </a:p>
      </xdr:txBody>
    </xdr:sp>
    <xdr:clientData/>
  </xdr:twoCellAnchor>
  <xdr:twoCellAnchor>
    <xdr:from>
      <xdr:col>22</xdr:col>
      <xdr:colOff>552450</xdr:colOff>
      <xdr:row>15</xdr:row>
      <xdr:rowOff>76200</xdr:rowOff>
    </xdr:from>
    <xdr:to>
      <xdr:col>22</xdr:col>
      <xdr:colOff>552450</xdr:colOff>
      <xdr:row>18</xdr:row>
      <xdr:rowOff>85725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3F585BE6-03F4-4416-AA6D-140AD0C54DBD}"/>
            </a:ext>
          </a:extLst>
        </xdr:cNvPr>
        <xdr:cNvCxnSpPr>
          <a:stCxn id="26" idx="4"/>
          <a:endCxn id="33" idx="0"/>
        </xdr:cNvCxnSpPr>
      </xdr:nvCxnSpPr>
      <xdr:spPr>
        <a:xfrm>
          <a:off x="12125325" y="4257675"/>
          <a:ext cx="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523875</xdr:colOff>
      <xdr:row>16</xdr:row>
      <xdr:rowOff>76200</xdr:rowOff>
    </xdr:from>
    <xdr:ext cx="452753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2E7B33A-5DF2-4290-BDD6-F64662E6ABCC}"/>
            </a:ext>
          </a:extLst>
        </xdr:cNvPr>
        <xdr:cNvSpPr txBox="1"/>
      </xdr:nvSpPr>
      <xdr:spPr>
        <a:xfrm>
          <a:off x="12096750" y="4448175"/>
          <a:ext cx="4527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Е=6</a:t>
          </a:r>
        </a:p>
      </xdr:txBody>
    </xdr:sp>
    <xdr:clientData/>
  </xdr:oneCellAnchor>
  <xdr:twoCellAnchor>
    <xdr:from>
      <xdr:col>18</xdr:col>
      <xdr:colOff>56391</xdr:colOff>
      <xdr:row>8</xdr:row>
      <xdr:rowOff>56391</xdr:rowOff>
    </xdr:from>
    <xdr:to>
      <xdr:col>20</xdr:col>
      <xdr:colOff>38859</xdr:colOff>
      <xdr:row>10</xdr:row>
      <xdr:rowOff>86484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BFCF4A6C-CFAB-4942-863A-48BC3FBA970C}"/>
            </a:ext>
          </a:extLst>
        </xdr:cNvPr>
        <xdr:cNvCxnSpPr>
          <a:stCxn id="20" idx="7"/>
          <a:endCxn id="11" idx="3"/>
        </xdr:cNvCxnSpPr>
      </xdr:nvCxnSpPr>
      <xdr:spPr>
        <a:xfrm flipV="1">
          <a:off x="9190866" y="2932941"/>
          <a:ext cx="1201668" cy="4110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228600</xdr:colOff>
      <xdr:row>8</xdr:row>
      <xdr:rowOff>0</xdr:rowOff>
    </xdr:from>
    <xdr:ext cx="590550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D443FE2-350F-423D-935F-E7B18F3E93F0}"/>
            </a:ext>
          </a:extLst>
        </xdr:cNvPr>
        <xdr:cNvSpPr txBox="1"/>
      </xdr:nvSpPr>
      <xdr:spPr>
        <a:xfrm>
          <a:off x="9363075" y="287655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Н=4</a:t>
          </a:r>
        </a:p>
      </xdr:txBody>
    </xdr:sp>
    <xdr:clientData/>
  </xdr:oneCellAnchor>
  <xdr:twoCellAnchor>
    <xdr:from>
      <xdr:col>23</xdr:col>
      <xdr:colOff>151641</xdr:colOff>
      <xdr:row>12</xdr:row>
      <xdr:rowOff>143634</xdr:rowOff>
    </xdr:from>
    <xdr:to>
      <xdr:col>24</xdr:col>
      <xdr:colOff>229359</xdr:colOff>
      <xdr:row>19</xdr:row>
      <xdr:rowOff>57909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B6523A16-4B19-4706-8488-9A1B198A9EAA}"/>
            </a:ext>
          </a:extLst>
        </xdr:cNvPr>
        <xdr:cNvCxnSpPr>
          <a:stCxn id="26" idx="7"/>
          <a:endCxn id="34" idx="1"/>
        </xdr:cNvCxnSpPr>
      </xdr:nvCxnSpPr>
      <xdr:spPr>
        <a:xfrm>
          <a:off x="12334116" y="3753609"/>
          <a:ext cx="687318" cy="1247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485776</xdr:colOff>
      <xdr:row>15</xdr:row>
      <xdr:rowOff>142875</xdr:rowOff>
    </xdr:from>
    <xdr:ext cx="600074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B80909C-48CC-44AB-AAC7-7EE75F367534}"/>
            </a:ext>
          </a:extLst>
        </xdr:cNvPr>
        <xdr:cNvSpPr txBox="1"/>
      </xdr:nvSpPr>
      <xdr:spPr>
        <a:xfrm>
          <a:off x="12668251" y="4324350"/>
          <a:ext cx="6000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Ж=6</a:t>
          </a:r>
        </a:p>
      </xdr:txBody>
    </xdr:sp>
    <xdr:clientData/>
  </xdr:oneCellAnchor>
  <xdr:twoCellAnchor>
    <xdr:from>
      <xdr:col>22</xdr:col>
      <xdr:colOff>257175</xdr:colOff>
      <xdr:row>18</xdr:row>
      <xdr:rowOff>85725</xdr:rowOff>
    </xdr:from>
    <xdr:to>
      <xdr:col>23</xdr:col>
      <xdr:colOff>238125</xdr:colOff>
      <xdr:row>21</xdr:row>
      <xdr:rowOff>104775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12A23D1D-BE67-4D80-9983-F920F301703C}"/>
            </a:ext>
          </a:extLst>
        </xdr:cNvPr>
        <xdr:cNvSpPr/>
      </xdr:nvSpPr>
      <xdr:spPr>
        <a:xfrm>
          <a:off x="11830050" y="48387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9</a:t>
          </a:r>
        </a:p>
      </xdr:txBody>
    </xdr:sp>
    <xdr:clientData/>
  </xdr:twoCellAnchor>
  <xdr:twoCellAnchor>
    <xdr:from>
      <xdr:col>24</xdr:col>
      <xdr:colOff>142875</xdr:colOff>
      <xdr:row>18</xdr:row>
      <xdr:rowOff>161925</xdr:rowOff>
    </xdr:from>
    <xdr:to>
      <xdr:col>25</xdr:col>
      <xdr:colOff>123825</xdr:colOff>
      <xdr:row>21</xdr:row>
      <xdr:rowOff>180975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0BC72E89-1306-48CE-9BD3-B182DD847B2B}"/>
            </a:ext>
          </a:extLst>
        </xdr:cNvPr>
        <xdr:cNvSpPr/>
      </xdr:nvSpPr>
      <xdr:spPr>
        <a:xfrm>
          <a:off x="12934950" y="49149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11</a:t>
          </a:r>
        </a:p>
      </xdr:txBody>
    </xdr:sp>
    <xdr:clientData/>
  </xdr:twoCellAnchor>
  <xdr:twoCellAnchor>
    <xdr:from>
      <xdr:col>14</xdr:col>
      <xdr:colOff>495300</xdr:colOff>
      <xdr:row>24</xdr:row>
      <xdr:rowOff>133350</xdr:rowOff>
    </xdr:from>
    <xdr:to>
      <xdr:col>15</xdr:col>
      <xdr:colOff>476250</xdr:colOff>
      <xdr:row>27</xdr:row>
      <xdr:rowOff>152400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56A927BB-6E81-4D81-A739-CE0C5A9967C3}"/>
            </a:ext>
          </a:extLst>
        </xdr:cNvPr>
        <xdr:cNvSpPr/>
      </xdr:nvSpPr>
      <xdr:spPr>
        <a:xfrm>
          <a:off x="7191375" y="60293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12</a:t>
          </a:r>
        </a:p>
      </xdr:txBody>
    </xdr:sp>
    <xdr:clientData/>
  </xdr:twoCellAnchor>
  <xdr:twoCellAnchor>
    <xdr:from>
      <xdr:col>15</xdr:col>
      <xdr:colOff>476250</xdr:colOff>
      <xdr:row>26</xdr:row>
      <xdr:rowOff>47625</xdr:rowOff>
    </xdr:from>
    <xdr:to>
      <xdr:col>18</xdr:col>
      <xdr:colOff>542925</xdr:colOff>
      <xdr:row>26</xdr:row>
      <xdr:rowOff>95250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0FFECEF0-75BA-4779-9E55-1C60EEE7803F}"/>
            </a:ext>
          </a:extLst>
        </xdr:cNvPr>
        <xdr:cNvCxnSpPr>
          <a:stCxn id="35" idx="6"/>
          <a:endCxn id="37" idx="2"/>
        </xdr:cNvCxnSpPr>
      </xdr:nvCxnSpPr>
      <xdr:spPr>
        <a:xfrm>
          <a:off x="7781925" y="6324600"/>
          <a:ext cx="18954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542925</xdr:colOff>
      <xdr:row>24</xdr:row>
      <xdr:rowOff>180975</xdr:rowOff>
    </xdr:from>
    <xdr:to>
      <xdr:col>19</xdr:col>
      <xdr:colOff>523875</xdr:colOff>
      <xdr:row>28</xdr:row>
      <xdr:rowOff>9525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35E25D4A-0140-4C29-913D-FCAAB915ACBB}"/>
            </a:ext>
          </a:extLst>
        </xdr:cNvPr>
        <xdr:cNvSpPr/>
      </xdr:nvSpPr>
      <xdr:spPr>
        <a:xfrm>
          <a:off x="9677400" y="60769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13</a:t>
          </a:r>
        </a:p>
      </xdr:txBody>
    </xdr:sp>
    <xdr:clientData/>
  </xdr:twoCellAnchor>
  <xdr:oneCellAnchor>
    <xdr:from>
      <xdr:col>16</xdr:col>
      <xdr:colOff>171450</xdr:colOff>
      <xdr:row>24</xdr:row>
      <xdr:rowOff>133350</xdr:rowOff>
    </xdr:from>
    <xdr:ext cx="480260" cy="31149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70B805A-F86F-4F76-BCE5-8F5DE52DC817}"/>
            </a:ext>
          </a:extLst>
        </xdr:cNvPr>
        <xdr:cNvSpPr txBox="1"/>
      </xdr:nvSpPr>
      <xdr:spPr>
        <a:xfrm>
          <a:off x="8086725" y="6029325"/>
          <a:ext cx="4802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И=2</a:t>
          </a:r>
        </a:p>
      </xdr:txBody>
    </xdr:sp>
    <xdr:clientData/>
  </xdr:oneCellAnchor>
  <xdr:twoCellAnchor>
    <xdr:from>
      <xdr:col>19</xdr:col>
      <xdr:colOff>523875</xdr:colOff>
      <xdr:row>26</xdr:row>
      <xdr:rowOff>95250</xdr:rowOff>
    </xdr:from>
    <xdr:to>
      <xdr:col>25</xdr:col>
      <xdr:colOff>104775</xdr:colOff>
      <xdr:row>26</xdr:row>
      <xdr:rowOff>180975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073DAD9F-2428-4556-A7B0-F03153F77D71}"/>
            </a:ext>
          </a:extLst>
        </xdr:cNvPr>
        <xdr:cNvCxnSpPr>
          <a:stCxn id="37" idx="6"/>
          <a:endCxn id="40" idx="2"/>
        </xdr:cNvCxnSpPr>
      </xdr:nvCxnSpPr>
      <xdr:spPr>
        <a:xfrm>
          <a:off x="10267950" y="6372225"/>
          <a:ext cx="3238500" cy="857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104775</xdr:colOff>
      <xdr:row>25</xdr:row>
      <xdr:rowOff>76200</xdr:rowOff>
    </xdr:from>
    <xdr:to>
      <xdr:col>26</xdr:col>
      <xdr:colOff>85725</xdr:colOff>
      <xdr:row>28</xdr:row>
      <xdr:rowOff>95250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16370E47-5FBE-4A36-A0EF-85F4CE1BFE7D}"/>
            </a:ext>
          </a:extLst>
        </xdr:cNvPr>
        <xdr:cNvSpPr/>
      </xdr:nvSpPr>
      <xdr:spPr>
        <a:xfrm>
          <a:off x="13506450" y="61626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14</a:t>
          </a:r>
        </a:p>
      </xdr:txBody>
    </xdr:sp>
    <xdr:clientData/>
  </xdr:twoCellAnchor>
  <xdr:twoCellAnchor>
    <xdr:from>
      <xdr:col>22</xdr:col>
      <xdr:colOff>552450</xdr:colOff>
      <xdr:row>21</xdr:row>
      <xdr:rowOff>104775</xdr:rowOff>
    </xdr:from>
    <xdr:to>
      <xdr:col>25</xdr:col>
      <xdr:colOff>191259</xdr:colOff>
      <xdr:row>25</xdr:row>
      <xdr:rowOff>162684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9664BA7C-CE27-479D-818B-4A2B743EFD50}"/>
            </a:ext>
          </a:extLst>
        </xdr:cNvPr>
        <xdr:cNvCxnSpPr>
          <a:stCxn id="33" idx="4"/>
          <a:endCxn id="40" idx="1"/>
        </xdr:cNvCxnSpPr>
      </xdr:nvCxnSpPr>
      <xdr:spPr>
        <a:xfrm>
          <a:off x="12125325" y="5429250"/>
          <a:ext cx="1467609" cy="8199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229359</xdr:colOff>
      <xdr:row>21</xdr:row>
      <xdr:rowOff>94491</xdr:rowOff>
    </xdr:from>
    <xdr:to>
      <xdr:col>25</xdr:col>
      <xdr:colOff>400050</xdr:colOff>
      <xdr:row>25</xdr:row>
      <xdr:rowOff>76200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B308D436-3D59-47F3-9C2C-E8790B1F5355}"/>
            </a:ext>
          </a:extLst>
        </xdr:cNvPr>
        <xdr:cNvCxnSpPr>
          <a:stCxn id="34" idx="3"/>
          <a:endCxn id="40" idx="0"/>
        </xdr:cNvCxnSpPr>
      </xdr:nvCxnSpPr>
      <xdr:spPr>
        <a:xfrm>
          <a:off x="13021434" y="5418966"/>
          <a:ext cx="780291" cy="7437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66675</xdr:colOff>
      <xdr:row>9</xdr:row>
      <xdr:rowOff>57150</xdr:rowOff>
    </xdr:from>
    <xdr:to>
      <xdr:col>26</xdr:col>
      <xdr:colOff>85725</xdr:colOff>
      <xdr:row>26</xdr:row>
      <xdr:rowOff>180975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31E4F638-DD4B-4AE9-9AEB-F0E972208B03}"/>
            </a:ext>
          </a:extLst>
        </xdr:cNvPr>
        <xdr:cNvCxnSpPr>
          <a:cxnSpLocks/>
          <a:stCxn id="40" idx="6"/>
          <a:endCxn id="56" idx="4"/>
        </xdr:cNvCxnSpPr>
      </xdr:nvCxnSpPr>
      <xdr:spPr>
        <a:xfrm flipH="1" flipV="1">
          <a:off x="14077950" y="3124200"/>
          <a:ext cx="19050" cy="3333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19050</xdr:colOff>
      <xdr:row>24</xdr:row>
      <xdr:rowOff>95250</xdr:rowOff>
    </xdr:from>
    <xdr:ext cx="462563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5684476-65D2-4FFB-8A01-A49BAF2EFF33}"/>
            </a:ext>
          </a:extLst>
        </xdr:cNvPr>
        <xdr:cNvSpPr txBox="1"/>
      </xdr:nvSpPr>
      <xdr:spPr>
        <a:xfrm>
          <a:off x="14030325" y="5991225"/>
          <a:ext cx="46256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К=1</a:t>
          </a:r>
        </a:p>
      </xdr:txBody>
    </xdr:sp>
    <xdr:clientData/>
  </xdr:oneCellAnchor>
  <xdr:twoCellAnchor>
    <xdr:from>
      <xdr:col>19</xdr:col>
      <xdr:colOff>28575</xdr:colOff>
      <xdr:row>2</xdr:row>
      <xdr:rowOff>28575</xdr:rowOff>
    </xdr:from>
    <xdr:to>
      <xdr:col>20</xdr:col>
      <xdr:colOff>9525</xdr:colOff>
      <xdr:row>5</xdr:row>
      <xdr:rowOff>47625</xdr:rowOff>
    </xdr:to>
    <xdr:sp macro="" textlink="">
      <xdr:nvSpPr>
        <xdr:cNvPr id="45" name="Овал 44">
          <a:extLst>
            <a:ext uri="{FF2B5EF4-FFF2-40B4-BE49-F238E27FC236}">
              <a16:creationId xmlns:a16="http://schemas.microsoft.com/office/drawing/2014/main" id="{2089E57C-4A91-412D-AC39-6D978AF9C134}"/>
            </a:ext>
          </a:extLst>
        </xdr:cNvPr>
        <xdr:cNvSpPr/>
      </xdr:nvSpPr>
      <xdr:spPr>
        <a:xfrm>
          <a:off x="9772650" y="17621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15</a:t>
          </a:r>
        </a:p>
      </xdr:txBody>
    </xdr:sp>
    <xdr:clientData/>
  </xdr:twoCellAnchor>
  <xdr:twoCellAnchor>
    <xdr:from>
      <xdr:col>17</xdr:col>
      <xdr:colOff>457200</xdr:colOff>
      <xdr:row>4</xdr:row>
      <xdr:rowOff>151641</xdr:rowOff>
    </xdr:from>
    <xdr:to>
      <xdr:col>19</xdr:col>
      <xdr:colOff>115059</xdr:colOff>
      <xdr:row>10</xdr:row>
      <xdr:rowOff>0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D2D11C76-BE3F-44BC-A49C-28757D689AA6}"/>
            </a:ext>
          </a:extLst>
        </xdr:cNvPr>
        <xdr:cNvCxnSpPr>
          <a:stCxn id="20" idx="0"/>
          <a:endCxn id="45" idx="3"/>
        </xdr:cNvCxnSpPr>
      </xdr:nvCxnSpPr>
      <xdr:spPr>
        <a:xfrm flipV="1">
          <a:off x="8982075" y="2266191"/>
          <a:ext cx="877059" cy="9913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400050</xdr:colOff>
      <xdr:row>6</xdr:row>
      <xdr:rowOff>104775</xdr:rowOff>
    </xdr:from>
    <xdr:ext cx="590550" cy="311496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454708C-A010-47C0-8753-D610D6B45AD2}"/>
            </a:ext>
          </a:extLst>
        </xdr:cNvPr>
        <xdr:cNvSpPr txBox="1"/>
      </xdr:nvSpPr>
      <xdr:spPr>
        <a:xfrm>
          <a:off x="8924925" y="260032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Л=3</a:t>
          </a:r>
        </a:p>
      </xdr:txBody>
    </xdr:sp>
    <xdr:clientData/>
  </xdr:oneCellAnchor>
  <xdr:twoCellAnchor>
    <xdr:from>
      <xdr:col>19</xdr:col>
      <xdr:colOff>532641</xdr:colOff>
      <xdr:row>2</xdr:row>
      <xdr:rowOff>115059</xdr:rowOff>
    </xdr:from>
    <xdr:to>
      <xdr:col>25</xdr:col>
      <xdr:colOff>467484</xdr:colOff>
      <xdr:row>6</xdr:row>
      <xdr:rowOff>124584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659BC800-83AF-41D0-B4A9-24A9E9E6B837}"/>
            </a:ext>
          </a:extLst>
        </xdr:cNvPr>
        <xdr:cNvCxnSpPr>
          <a:cxnSpLocks/>
          <a:stCxn id="45" idx="7"/>
          <a:endCxn id="56" idx="1"/>
        </xdr:cNvCxnSpPr>
      </xdr:nvCxnSpPr>
      <xdr:spPr>
        <a:xfrm>
          <a:off x="10276716" y="1848609"/>
          <a:ext cx="3592443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180975</xdr:colOff>
      <xdr:row>1</xdr:row>
      <xdr:rowOff>85725</xdr:rowOff>
    </xdr:from>
    <xdr:ext cx="590550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A073E3F-476E-482D-8D70-B43BC03139E5}"/>
            </a:ext>
          </a:extLst>
        </xdr:cNvPr>
        <xdr:cNvSpPr txBox="1"/>
      </xdr:nvSpPr>
      <xdr:spPr>
        <a:xfrm>
          <a:off x="10534650" y="162877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М=7</a:t>
          </a:r>
        </a:p>
      </xdr:txBody>
    </xdr:sp>
    <xdr:clientData/>
  </xdr:oneCellAnchor>
  <xdr:twoCellAnchor>
    <xdr:from>
      <xdr:col>20</xdr:col>
      <xdr:colOff>542925</xdr:colOff>
      <xdr:row>7</xdr:row>
      <xdr:rowOff>38100</xdr:rowOff>
    </xdr:from>
    <xdr:to>
      <xdr:col>21</xdr:col>
      <xdr:colOff>600075</xdr:colOff>
      <xdr:row>7</xdr:row>
      <xdr:rowOff>171450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42FB3B64-887F-4E24-87B4-9B03ADBD074A}"/>
            </a:ext>
          </a:extLst>
        </xdr:cNvPr>
        <xdr:cNvCxnSpPr>
          <a:stCxn id="11" idx="6"/>
          <a:endCxn id="51" idx="2"/>
        </xdr:cNvCxnSpPr>
      </xdr:nvCxnSpPr>
      <xdr:spPr>
        <a:xfrm>
          <a:off x="10896600" y="2724150"/>
          <a:ext cx="666750" cy="1333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600075</xdr:colOff>
      <xdr:row>6</xdr:row>
      <xdr:rowOff>66675</xdr:rowOff>
    </xdr:from>
    <xdr:to>
      <xdr:col>22</xdr:col>
      <xdr:colOff>581025</xdr:colOff>
      <xdr:row>9</xdr:row>
      <xdr:rowOff>85725</xdr:rowOff>
    </xdr:to>
    <xdr:sp macro="" textlink="">
      <xdr:nvSpPr>
        <xdr:cNvPr id="51" name="Овал 50">
          <a:extLst>
            <a:ext uri="{FF2B5EF4-FFF2-40B4-BE49-F238E27FC236}">
              <a16:creationId xmlns:a16="http://schemas.microsoft.com/office/drawing/2014/main" id="{2F631DE3-321A-480F-BAA6-9EF756BF0B49}"/>
            </a:ext>
          </a:extLst>
        </xdr:cNvPr>
        <xdr:cNvSpPr/>
      </xdr:nvSpPr>
      <xdr:spPr>
        <a:xfrm>
          <a:off x="11563350" y="25622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16</a:t>
          </a:r>
        </a:p>
      </xdr:txBody>
    </xdr:sp>
    <xdr:clientData/>
  </xdr:twoCellAnchor>
  <xdr:twoCellAnchor>
    <xdr:from>
      <xdr:col>20</xdr:col>
      <xdr:colOff>570741</xdr:colOff>
      <xdr:row>8</xdr:row>
      <xdr:rowOff>189741</xdr:rowOff>
    </xdr:from>
    <xdr:to>
      <xdr:col>22</xdr:col>
      <xdr:colOff>76959</xdr:colOff>
      <xdr:row>10</xdr:row>
      <xdr:rowOff>67434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C7E83DAE-9542-497B-8BD7-E5508DB46582}"/>
            </a:ext>
          </a:extLst>
        </xdr:cNvPr>
        <xdr:cNvCxnSpPr>
          <a:stCxn id="23" idx="7"/>
          <a:endCxn id="51" idx="3"/>
        </xdr:cNvCxnSpPr>
      </xdr:nvCxnSpPr>
      <xdr:spPr>
        <a:xfrm flipV="1">
          <a:off x="10924416" y="3066291"/>
          <a:ext cx="725418" cy="2586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304800</xdr:colOff>
      <xdr:row>9</xdr:row>
      <xdr:rowOff>85725</xdr:rowOff>
    </xdr:from>
    <xdr:to>
      <xdr:col>22</xdr:col>
      <xdr:colOff>285750</xdr:colOff>
      <xdr:row>16</xdr:row>
      <xdr:rowOff>133350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399A22BF-B90E-4AB5-9117-8E50961B610A}"/>
            </a:ext>
          </a:extLst>
        </xdr:cNvPr>
        <xdr:cNvCxnSpPr>
          <a:stCxn id="16" idx="0"/>
          <a:endCxn id="51" idx="4"/>
        </xdr:cNvCxnSpPr>
      </xdr:nvCxnSpPr>
      <xdr:spPr>
        <a:xfrm flipV="1">
          <a:off x="11268075" y="3152775"/>
          <a:ext cx="590550" cy="13525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581025</xdr:colOff>
      <xdr:row>7</xdr:row>
      <xdr:rowOff>142875</xdr:rowOff>
    </xdr:from>
    <xdr:to>
      <xdr:col>25</xdr:col>
      <xdr:colOff>381000</xdr:colOff>
      <xdr:row>7</xdr:row>
      <xdr:rowOff>171450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22282778-88C1-4BE7-8D94-87EA3BB2E8D4}"/>
            </a:ext>
          </a:extLst>
        </xdr:cNvPr>
        <xdr:cNvCxnSpPr>
          <a:stCxn id="51" idx="6"/>
          <a:endCxn id="56" idx="2"/>
        </xdr:cNvCxnSpPr>
      </xdr:nvCxnSpPr>
      <xdr:spPr>
        <a:xfrm flipV="1">
          <a:off x="12153900" y="2828925"/>
          <a:ext cx="16287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28575</xdr:colOff>
      <xdr:row>6</xdr:row>
      <xdr:rowOff>66675</xdr:rowOff>
    </xdr:from>
    <xdr:ext cx="590550" cy="31149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CE3F05E-8D24-4787-BF17-B6F535090A4D}"/>
            </a:ext>
          </a:extLst>
        </xdr:cNvPr>
        <xdr:cNvSpPr txBox="1"/>
      </xdr:nvSpPr>
      <xdr:spPr>
        <a:xfrm>
          <a:off x="12211050" y="256222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О=8</a:t>
          </a:r>
        </a:p>
      </xdr:txBody>
    </xdr:sp>
    <xdr:clientData/>
  </xdr:oneCellAnchor>
  <xdr:twoCellAnchor>
    <xdr:from>
      <xdr:col>25</xdr:col>
      <xdr:colOff>381000</xdr:colOff>
      <xdr:row>6</xdr:row>
      <xdr:rowOff>38100</xdr:rowOff>
    </xdr:from>
    <xdr:to>
      <xdr:col>26</xdr:col>
      <xdr:colOff>361950</xdr:colOff>
      <xdr:row>9</xdr:row>
      <xdr:rowOff>57150</xdr:rowOff>
    </xdr:to>
    <xdr:sp macro="" textlink="">
      <xdr:nvSpPr>
        <xdr:cNvPr id="56" name="Овал 55">
          <a:extLst>
            <a:ext uri="{FF2B5EF4-FFF2-40B4-BE49-F238E27FC236}">
              <a16:creationId xmlns:a16="http://schemas.microsoft.com/office/drawing/2014/main" id="{76A45018-0273-45F7-A331-88A2344D3923}"/>
            </a:ext>
          </a:extLst>
        </xdr:cNvPr>
        <xdr:cNvSpPr/>
      </xdr:nvSpPr>
      <xdr:spPr>
        <a:xfrm>
          <a:off x="13782675" y="25336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16</xdr:row>
      <xdr:rowOff>47625</xdr:rowOff>
    </xdr:from>
    <xdr:to>
      <xdr:col>10</xdr:col>
      <xdr:colOff>581025</xdr:colOff>
      <xdr:row>19</xdr:row>
      <xdr:rowOff>66675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2771E9BE-C9C4-4FD9-B849-679D910FB394}"/>
            </a:ext>
          </a:extLst>
        </xdr:cNvPr>
        <xdr:cNvSpPr/>
      </xdr:nvSpPr>
      <xdr:spPr>
        <a:xfrm>
          <a:off x="7800975" y="31337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</a:p>
      </xdr:txBody>
    </xdr:sp>
    <xdr:clientData/>
  </xdr:twoCellAnchor>
  <xdr:twoCellAnchor>
    <xdr:from>
      <xdr:col>10</xdr:col>
      <xdr:colOff>581025</xdr:colOff>
      <xdr:row>11</xdr:row>
      <xdr:rowOff>123825</xdr:rowOff>
    </xdr:from>
    <xdr:to>
      <xdr:col>13</xdr:col>
      <xdr:colOff>142875</xdr:colOff>
      <xdr:row>17</xdr:row>
      <xdr:rowOff>152400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1CC2AC9C-A036-426D-BFDC-EB27375A5836}"/>
            </a:ext>
          </a:extLst>
        </xdr:cNvPr>
        <xdr:cNvCxnSpPr>
          <a:stCxn id="2" idx="6"/>
          <a:endCxn id="5" idx="2"/>
        </xdr:cNvCxnSpPr>
      </xdr:nvCxnSpPr>
      <xdr:spPr>
        <a:xfrm flipV="1">
          <a:off x="8391525" y="2257425"/>
          <a:ext cx="1390650" cy="1171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17</xdr:row>
      <xdr:rowOff>152400</xdr:rowOff>
    </xdr:from>
    <xdr:to>
      <xdr:col>13</xdr:col>
      <xdr:colOff>523875</xdr:colOff>
      <xdr:row>18</xdr:row>
      <xdr:rowOff>57150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791424FF-5039-48EE-87E1-055AC3B3A5CA}"/>
            </a:ext>
          </a:extLst>
        </xdr:cNvPr>
        <xdr:cNvCxnSpPr>
          <a:stCxn id="2" idx="6"/>
          <a:endCxn id="6" idx="2"/>
        </xdr:cNvCxnSpPr>
      </xdr:nvCxnSpPr>
      <xdr:spPr>
        <a:xfrm>
          <a:off x="8391525" y="3429000"/>
          <a:ext cx="177165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142875</xdr:colOff>
      <xdr:row>10</xdr:row>
      <xdr:rowOff>19050</xdr:rowOff>
    </xdr:from>
    <xdr:to>
      <xdr:col>14</xdr:col>
      <xdr:colOff>123825</xdr:colOff>
      <xdr:row>13</xdr:row>
      <xdr:rowOff>38100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5B7D58F0-D52A-47C4-9E82-6AB2383D8BC7}"/>
            </a:ext>
          </a:extLst>
        </xdr:cNvPr>
        <xdr:cNvSpPr/>
      </xdr:nvSpPr>
      <xdr:spPr>
        <a:xfrm>
          <a:off x="9782175" y="19621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2</a:t>
          </a:r>
        </a:p>
      </xdr:txBody>
    </xdr:sp>
    <xdr:clientData/>
  </xdr:twoCellAnchor>
  <xdr:twoCellAnchor>
    <xdr:from>
      <xdr:col>13</xdr:col>
      <xdr:colOff>523875</xdr:colOff>
      <xdr:row>16</xdr:row>
      <xdr:rowOff>142875</xdr:rowOff>
    </xdr:from>
    <xdr:to>
      <xdr:col>14</xdr:col>
      <xdr:colOff>504825</xdr:colOff>
      <xdr:row>19</xdr:row>
      <xdr:rowOff>161925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8596EB30-B5E9-4D38-877E-5F3097BE4D71}"/>
            </a:ext>
          </a:extLst>
        </xdr:cNvPr>
        <xdr:cNvSpPr/>
      </xdr:nvSpPr>
      <xdr:spPr>
        <a:xfrm>
          <a:off x="10163175" y="32289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3</a:t>
          </a:r>
        </a:p>
      </xdr:txBody>
    </xdr:sp>
    <xdr:clientData/>
  </xdr:twoCellAnchor>
  <xdr:oneCellAnchor>
    <xdr:from>
      <xdr:col>11</xdr:col>
      <xdr:colOff>314325</xdr:colOff>
      <xdr:row>12</xdr:row>
      <xdr:rowOff>180975</xdr:rowOff>
    </xdr:from>
    <xdr:ext cx="821763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14C77A7-17A4-48CB-A6EA-BAF080D42BAD}"/>
            </a:ext>
          </a:extLst>
        </xdr:cNvPr>
        <xdr:cNvSpPr txBox="1"/>
      </xdr:nvSpPr>
      <xdr:spPr>
        <a:xfrm>
          <a:off x="7962900" y="2600325"/>
          <a:ext cx="82176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А=4, 1, 0</a:t>
          </a:r>
        </a:p>
      </xdr:txBody>
    </xdr:sp>
    <xdr:clientData/>
  </xdr:oneCellAnchor>
  <xdr:oneCellAnchor>
    <xdr:from>
      <xdr:col>11</xdr:col>
      <xdr:colOff>219075</xdr:colOff>
      <xdr:row>21</xdr:row>
      <xdr:rowOff>19050</xdr:rowOff>
    </xdr:from>
    <xdr:ext cx="450123" cy="31149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0EA2621-6242-4201-A7D7-0D8A489CA048}"/>
            </a:ext>
          </a:extLst>
        </xdr:cNvPr>
        <xdr:cNvSpPr txBox="1"/>
      </xdr:nvSpPr>
      <xdr:spPr>
        <a:xfrm>
          <a:off x="8639175" y="4057650"/>
          <a:ext cx="4501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З=5</a:t>
          </a:r>
        </a:p>
      </xdr:txBody>
    </xdr:sp>
    <xdr:clientData/>
  </xdr:oneCellAnchor>
  <xdr:twoCellAnchor>
    <xdr:from>
      <xdr:col>10</xdr:col>
      <xdr:colOff>581025</xdr:colOff>
      <xdr:row>17</xdr:row>
      <xdr:rowOff>152400</xdr:rowOff>
    </xdr:from>
    <xdr:to>
      <xdr:col>12</xdr:col>
      <xdr:colOff>581784</xdr:colOff>
      <xdr:row>25</xdr:row>
      <xdr:rowOff>29334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64DFE402-5DD2-4A3E-91EC-999986AF9046}"/>
            </a:ext>
          </a:extLst>
        </xdr:cNvPr>
        <xdr:cNvCxnSpPr>
          <a:stCxn id="2" idx="6"/>
          <a:endCxn id="35" idx="1"/>
        </xdr:cNvCxnSpPr>
      </xdr:nvCxnSpPr>
      <xdr:spPr>
        <a:xfrm>
          <a:off x="8391525" y="3429000"/>
          <a:ext cx="1219959" cy="14009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419099</xdr:colOff>
      <xdr:row>16</xdr:row>
      <xdr:rowOff>142875</xdr:rowOff>
    </xdr:from>
    <xdr:ext cx="923925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F1F3EC3-3EDB-4AFD-A5C2-E228D08AB5E9}"/>
            </a:ext>
          </a:extLst>
        </xdr:cNvPr>
        <xdr:cNvSpPr txBox="1"/>
      </xdr:nvSpPr>
      <xdr:spPr>
        <a:xfrm>
          <a:off x="8677274" y="3324225"/>
          <a:ext cx="923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Б=2, 1, 0</a:t>
          </a:r>
        </a:p>
      </xdr:txBody>
    </xdr:sp>
    <xdr:clientData/>
  </xdr:oneCellAnchor>
  <xdr:twoCellAnchor>
    <xdr:from>
      <xdr:col>17</xdr:col>
      <xdr:colOff>561975</xdr:colOff>
      <xdr:row>5</xdr:row>
      <xdr:rowOff>123825</xdr:rowOff>
    </xdr:from>
    <xdr:to>
      <xdr:col>18</xdr:col>
      <xdr:colOff>542925</xdr:colOff>
      <xdr:row>8</xdr:row>
      <xdr:rowOff>142875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6D715A87-6297-45CD-9E3E-EB9685A14F36}"/>
            </a:ext>
          </a:extLst>
        </xdr:cNvPr>
        <xdr:cNvSpPr/>
      </xdr:nvSpPr>
      <xdr:spPr>
        <a:xfrm>
          <a:off x="12639675" y="11144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10</a:t>
          </a:r>
        </a:p>
      </xdr:txBody>
    </xdr:sp>
    <xdr:clientData/>
  </xdr:twoCellAnchor>
  <xdr:twoCellAnchor>
    <xdr:from>
      <xdr:col>14</xdr:col>
      <xdr:colOff>504825</xdr:colOff>
      <xdr:row>18</xdr:row>
      <xdr:rowOff>57150</xdr:rowOff>
    </xdr:from>
    <xdr:to>
      <xdr:col>16</xdr:col>
      <xdr:colOff>295275</xdr:colOff>
      <xdr:row>18</xdr:row>
      <xdr:rowOff>66675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65E83257-5BEC-4CEA-8497-CB1BFB64A69B}"/>
            </a:ext>
          </a:extLst>
        </xdr:cNvPr>
        <xdr:cNvCxnSpPr>
          <a:stCxn id="6" idx="6"/>
          <a:endCxn id="13" idx="2"/>
        </xdr:cNvCxnSpPr>
      </xdr:nvCxnSpPr>
      <xdr:spPr>
        <a:xfrm>
          <a:off x="10753725" y="3524250"/>
          <a:ext cx="1009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16</xdr:row>
      <xdr:rowOff>152400</xdr:rowOff>
    </xdr:from>
    <xdr:to>
      <xdr:col>17</xdr:col>
      <xdr:colOff>276225</xdr:colOff>
      <xdr:row>19</xdr:row>
      <xdr:rowOff>171450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87B0A1A5-F520-4161-AC1F-59991AC247C2}"/>
            </a:ext>
          </a:extLst>
        </xdr:cNvPr>
        <xdr:cNvSpPr/>
      </xdr:nvSpPr>
      <xdr:spPr>
        <a:xfrm>
          <a:off x="11763375" y="32385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4</a:t>
          </a:r>
        </a:p>
      </xdr:txBody>
    </xdr:sp>
    <xdr:clientData/>
  </xdr:twoCellAnchor>
  <xdr:oneCellAnchor>
    <xdr:from>
      <xdr:col>15</xdr:col>
      <xdr:colOff>142875</xdr:colOff>
      <xdr:row>16</xdr:row>
      <xdr:rowOff>180975</xdr:rowOff>
    </xdr:from>
    <xdr:ext cx="815544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70C9E0B-FC81-492B-B153-0509422882DD}"/>
            </a:ext>
          </a:extLst>
        </xdr:cNvPr>
        <xdr:cNvSpPr txBox="1"/>
      </xdr:nvSpPr>
      <xdr:spPr>
        <a:xfrm>
          <a:off x="10229850" y="3362325"/>
          <a:ext cx="81554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В=7, 6, 5</a:t>
          </a:r>
        </a:p>
      </xdr:txBody>
    </xdr:sp>
    <xdr:clientData/>
  </xdr:oneCellAnchor>
  <xdr:twoCellAnchor>
    <xdr:from>
      <xdr:col>17</xdr:col>
      <xdr:colOff>276225</xdr:colOff>
      <xdr:row>18</xdr:row>
      <xdr:rowOff>47625</xdr:rowOff>
    </xdr:from>
    <xdr:to>
      <xdr:col>19</xdr:col>
      <xdr:colOff>9525</xdr:colOff>
      <xdr:row>18</xdr:row>
      <xdr:rowOff>66675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EF968D91-ADE8-4A3D-B512-5105F894C44A}"/>
            </a:ext>
          </a:extLst>
        </xdr:cNvPr>
        <xdr:cNvCxnSpPr>
          <a:stCxn id="13" idx="6"/>
          <a:endCxn id="16" idx="2"/>
        </xdr:cNvCxnSpPr>
      </xdr:nvCxnSpPr>
      <xdr:spPr>
        <a:xfrm flipV="1">
          <a:off x="12353925" y="3514725"/>
          <a:ext cx="952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16</xdr:row>
      <xdr:rowOff>133350</xdr:rowOff>
    </xdr:from>
    <xdr:to>
      <xdr:col>19</xdr:col>
      <xdr:colOff>600075</xdr:colOff>
      <xdr:row>19</xdr:row>
      <xdr:rowOff>152400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72C1D28F-C51E-4000-A8DC-F1BA1844EB66}"/>
            </a:ext>
          </a:extLst>
        </xdr:cNvPr>
        <xdr:cNvSpPr/>
      </xdr:nvSpPr>
      <xdr:spPr>
        <a:xfrm>
          <a:off x="13306425" y="32194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5</a:t>
          </a:r>
        </a:p>
      </xdr:txBody>
    </xdr:sp>
    <xdr:clientData/>
  </xdr:twoCellAnchor>
  <xdr:oneCellAnchor>
    <xdr:from>
      <xdr:col>17</xdr:col>
      <xdr:colOff>495300</xdr:colOff>
      <xdr:row>16</xdr:row>
      <xdr:rowOff>161925</xdr:rowOff>
    </xdr:from>
    <xdr:ext cx="795026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533D24A-967B-43FC-A10A-4B7254F94F24}"/>
            </a:ext>
          </a:extLst>
        </xdr:cNvPr>
        <xdr:cNvSpPr txBox="1"/>
      </xdr:nvSpPr>
      <xdr:spPr>
        <a:xfrm>
          <a:off x="11801475" y="3343275"/>
          <a:ext cx="79502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Г=8, 7, 6</a:t>
          </a:r>
        </a:p>
      </xdr:txBody>
    </xdr:sp>
    <xdr:clientData/>
  </xdr:oneCellAnchor>
  <xdr:twoCellAnchor>
    <xdr:from>
      <xdr:col>14</xdr:col>
      <xdr:colOff>123825</xdr:colOff>
      <xdr:row>11</xdr:row>
      <xdr:rowOff>104775</xdr:rowOff>
    </xdr:from>
    <xdr:to>
      <xdr:col>15</xdr:col>
      <xdr:colOff>161925</xdr:colOff>
      <xdr:row>11</xdr:row>
      <xdr:rowOff>123825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81E8520E-CCA2-4EBC-ADD4-E1B3D64737EF}"/>
            </a:ext>
          </a:extLst>
        </xdr:cNvPr>
        <xdr:cNvCxnSpPr>
          <a:stCxn id="5" idx="6"/>
          <a:endCxn id="20" idx="2"/>
        </xdr:cNvCxnSpPr>
      </xdr:nvCxnSpPr>
      <xdr:spPr>
        <a:xfrm flipV="1">
          <a:off x="10372725" y="2238375"/>
          <a:ext cx="647700" cy="190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418341</xdr:colOff>
      <xdr:row>12</xdr:row>
      <xdr:rowOff>123066</xdr:rowOff>
    </xdr:from>
    <xdr:to>
      <xdr:col>15</xdr:col>
      <xdr:colOff>248409</xdr:colOff>
      <xdr:row>17</xdr:row>
      <xdr:rowOff>38859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D8290671-D106-4611-980B-4B000CE21FAB}"/>
            </a:ext>
          </a:extLst>
        </xdr:cNvPr>
        <xdr:cNvCxnSpPr>
          <a:stCxn id="6" idx="7"/>
          <a:endCxn id="20" idx="3"/>
        </xdr:cNvCxnSpPr>
      </xdr:nvCxnSpPr>
      <xdr:spPr>
        <a:xfrm flipV="1">
          <a:off x="10667241" y="2447166"/>
          <a:ext cx="439668" cy="8682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161925</xdr:colOff>
      <xdr:row>10</xdr:row>
      <xdr:rowOff>0</xdr:rowOff>
    </xdr:from>
    <xdr:to>
      <xdr:col>16</xdr:col>
      <xdr:colOff>142875</xdr:colOff>
      <xdr:row>13</xdr:row>
      <xdr:rowOff>19050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18F366E1-74CA-4DC5-A816-90CC25CA05E6}"/>
            </a:ext>
          </a:extLst>
        </xdr:cNvPr>
        <xdr:cNvSpPr/>
      </xdr:nvSpPr>
      <xdr:spPr>
        <a:xfrm>
          <a:off x="11020425" y="19431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6</a:t>
          </a:r>
        </a:p>
      </xdr:txBody>
    </xdr:sp>
    <xdr:clientData/>
  </xdr:twoCellAnchor>
  <xdr:twoCellAnchor>
    <xdr:from>
      <xdr:col>16</xdr:col>
      <xdr:colOff>142875</xdr:colOff>
      <xdr:row>11</xdr:row>
      <xdr:rowOff>85725</xdr:rowOff>
    </xdr:from>
    <xdr:to>
      <xdr:col>18</xdr:col>
      <xdr:colOff>66675</xdr:colOff>
      <xdr:row>11</xdr:row>
      <xdr:rowOff>104775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C04EA3C3-CC94-4254-A78D-664DE92039C4}"/>
            </a:ext>
          </a:extLst>
        </xdr:cNvPr>
        <xdr:cNvCxnSpPr>
          <a:stCxn id="20" idx="6"/>
          <a:endCxn id="23" idx="2"/>
        </xdr:cNvCxnSpPr>
      </xdr:nvCxnSpPr>
      <xdr:spPr>
        <a:xfrm flipV="1">
          <a:off x="11610975" y="2219325"/>
          <a:ext cx="1143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381000</xdr:colOff>
      <xdr:row>10</xdr:row>
      <xdr:rowOff>19050</xdr:rowOff>
    </xdr:from>
    <xdr:ext cx="590550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7FC0BD2-A8E7-4BD8-8461-C0065E6942C1}"/>
            </a:ext>
          </a:extLst>
        </xdr:cNvPr>
        <xdr:cNvSpPr txBox="1"/>
      </xdr:nvSpPr>
      <xdr:spPr>
        <a:xfrm>
          <a:off x="11849100" y="196215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Д=5</a:t>
          </a:r>
        </a:p>
      </xdr:txBody>
    </xdr:sp>
    <xdr:clientData/>
  </xdr:oneCellAnchor>
  <xdr:twoCellAnchor>
    <xdr:from>
      <xdr:col>18</xdr:col>
      <xdr:colOff>66675</xdr:colOff>
      <xdr:row>9</xdr:row>
      <xdr:rowOff>171450</xdr:rowOff>
    </xdr:from>
    <xdr:to>
      <xdr:col>19</xdr:col>
      <xdr:colOff>47625</xdr:colOff>
      <xdr:row>13</xdr:row>
      <xdr:rowOff>0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019C1C2D-C79E-4337-896D-03B05645FB11}"/>
            </a:ext>
          </a:extLst>
        </xdr:cNvPr>
        <xdr:cNvSpPr/>
      </xdr:nvSpPr>
      <xdr:spPr>
        <a:xfrm>
          <a:off x="12753975" y="19240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7</a:t>
          </a:r>
        </a:p>
      </xdr:txBody>
    </xdr:sp>
    <xdr:clientData/>
  </xdr:twoCellAnchor>
  <xdr:twoCellAnchor>
    <xdr:from>
      <xdr:col>19</xdr:col>
      <xdr:colOff>47625</xdr:colOff>
      <xdr:row>11</xdr:row>
      <xdr:rowOff>85725</xdr:rowOff>
    </xdr:from>
    <xdr:to>
      <xdr:col>20</xdr:col>
      <xdr:colOff>257175</xdr:colOff>
      <xdr:row>13</xdr:row>
      <xdr:rowOff>161925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B2587566-1CDF-4CF0-92CA-295A13A9CEE5}"/>
            </a:ext>
          </a:extLst>
        </xdr:cNvPr>
        <xdr:cNvCxnSpPr>
          <a:stCxn id="23" idx="6"/>
          <a:endCxn id="26" idx="2"/>
        </xdr:cNvCxnSpPr>
      </xdr:nvCxnSpPr>
      <xdr:spPr>
        <a:xfrm>
          <a:off x="13344525" y="2219325"/>
          <a:ext cx="819150" cy="4572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600075</xdr:colOff>
      <xdr:row>14</xdr:row>
      <xdr:rowOff>180216</xdr:rowOff>
    </xdr:from>
    <xdr:to>
      <xdr:col>20</xdr:col>
      <xdr:colOff>343659</xdr:colOff>
      <xdr:row>18</xdr:row>
      <xdr:rowOff>47625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1CCD15D7-3913-49C8-842D-25E0AA862002}"/>
            </a:ext>
          </a:extLst>
        </xdr:cNvPr>
        <xdr:cNvCxnSpPr>
          <a:stCxn id="16" idx="6"/>
          <a:endCxn id="26" idx="3"/>
        </xdr:cNvCxnSpPr>
      </xdr:nvCxnSpPr>
      <xdr:spPr>
        <a:xfrm flipV="1">
          <a:off x="13896975" y="2885316"/>
          <a:ext cx="353184" cy="6294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257175</xdr:colOff>
      <xdr:row>12</xdr:row>
      <xdr:rowOff>57150</xdr:rowOff>
    </xdr:from>
    <xdr:to>
      <xdr:col>21</xdr:col>
      <xdr:colOff>238125</xdr:colOff>
      <xdr:row>15</xdr:row>
      <xdr:rowOff>76200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E5F7C102-E31B-4165-9156-687300535D3D}"/>
            </a:ext>
          </a:extLst>
        </xdr:cNvPr>
        <xdr:cNvSpPr/>
      </xdr:nvSpPr>
      <xdr:spPr>
        <a:xfrm>
          <a:off x="14163675" y="23812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8</a:t>
          </a:r>
        </a:p>
      </xdr:txBody>
    </xdr:sp>
    <xdr:clientData/>
  </xdr:twoCellAnchor>
  <xdr:twoCellAnchor>
    <xdr:from>
      <xdr:col>20</xdr:col>
      <xdr:colOff>552450</xdr:colOff>
      <xdr:row>15</xdr:row>
      <xdr:rowOff>76200</xdr:rowOff>
    </xdr:from>
    <xdr:to>
      <xdr:col>20</xdr:col>
      <xdr:colOff>552450</xdr:colOff>
      <xdr:row>18</xdr:row>
      <xdr:rowOff>85725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17ADDCDF-D697-4878-B6CE-BDA41B9761B0}"/>
            </a:ext>
          </a:extLst>
        </xdr:cNvPr>
        <xdr:cNvCxnSpPr>
          <a:stCxn id="26" idx="4"/>
          <a:endCxn id="33" idx="0"/>
        </xdr:cNvCxnSpPr>
      </xdr:nvCxnSpPr>
      <xdr:spPr>
        <a:xfrm>
          <a:off x="14458950" y="2971800"/>
          <a:ext cx="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523875</xdr:colOff>
      <xdr:row>16</xdr:row>
      <xdr:rowOff>76200</xdr:rowOff>
    </xdr:from>
    <xdr:ext cx="629147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54033A-FB56-4C18-A08A-AD209793DE89}"/>
            </a:ext>
          </a:extLst>
        </xdr:cNvPr>
        <xdr:cNvSpPr txBox="1"/>
      </xdr:nvSpPr>
      <xdr:spPr>
        <a:xfrm>
          <a:off x="13658850" y="3257550"/>
          <a:ext cx="62914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Е=6, 5</a:t>
          </a:r>
        </a:p>
      </xdr:txBody>
    </xdr:sp>
    <xdr:clientData/>
  </xdr:oneCellAnchor>
  <xdr:twoCellAnchor>
    <xdr:from>
      <xdr:col>16</xdr:col>
      <xdr:colOff>56391</xdr:colOff>
      <xdr:row>8</xdr:row>
      <xdr:rowOff>56391</xdr:rowOff>
    </xdr:from>
    <xdr:to>
      <xdr:col>18</xdr:col>
      <xdr:colOff>38859</xdr:colOff>
      <xdr:row>10</xdr:row>
      <xdr:rowOff>86484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0C4FDC67-6E8D-478B-BE91-BF368818D41A}"/>
            </a:ext>
          </a:extLst>
        </xdr:cNvPr>
        <xdr:cNvCxnSpPr>
          <a:stCxn id="20" idx="7"/>
          <a:endCxn id="11" idx="3"/>
        </xdr:cNvCxnSpPr>
      </xdr:nvCxnSpPr>
      <xdr:spPr>
        <a:xfrm flipV="1">
          <a:off x="11524491" y="1618491"/>
          <a:ext cx="1201668" cy="4110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228600</xdr:colOff>
      <xdr:row>8</xdr:row>
      <xdr:rowOff>0</xdr:rowOff>
    </xdr:from>
    <xdr:ext cx="781050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2009864-76BD-4B1B-8CCD-CE22CE9445CE}"/>
            </a:ext>
          </a:extLst>
        </xdr:cNvPr>
        <xdr:cNvSpPr txBox="1"/>
      </xdr:nvSpPr>
      <xdr:spPr>
        <a:xfrm>
          <a:off x="10925175" y="1657350"/>
          <a:ext cx="7810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Н=4, 3</a:t>
          </a:r>
        </a:p>
      </xdr:txBody>
    </xdr:sp>
    <xdr:clientData/>
  </xdr:oneCellAnchor>
  <xdr:twoCellAnchor>
    <xdr:from>
      <xdr:col>21</xdr:col>
      <xdr:colOff>151641</xdr:colOff>
      <xdr:row>12</xdr:row>
      <xdr:rowOff>143634</xdr:rowOff>
    </xdr:from>
    <xdr:to>
      <xdr:col>22</xdr:col>
      <xdr:colOff>229359</xdr:colOff>
      <xdr:row>19</xdr:row>
      <xdr:rowOff>57909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EAF164BE-5288-41B9-8762-55BACD5750C6}"/>
            </a:ext>
          </a:extLst>
        </xdr:cNvPr>
        <xdr:cNvCxnSpPr>
          <a:stCxn id="26" idx="7"/>
          <a:endCxn id="34" idx="1"/>
        </xdr:cNvCxnSpPr>
      </xdr:nvCxnSpPr>
      <xdr:spPr>
        <a:xfrm>
          <a:off x="14667741" y="2467734"/>
          <a:ext cx="687318" cy="1247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485776</xdr:colOff>
      <xdr:row>15</xdr:row>
      <xdr:rowOff>142875</xdr:rowOff>
    </xdr:from>
    <xdr:ext cx="600074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F77AE92-4A6E-4A41-990B-AE1AAD135FB7}"/>
            </a:ext>
          </a:extLst>
        </xdr:cNvPr>
        <xdr:cNvSpPr txBox="1"/>
      </xdr:nvSpPr>
      <xdr:spPr>
        <a:xfrm>
          <a:off x="15001876" y="3038475"/>
          <a:ext cx="6000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Ж=6</a:t>
          </a:r>
        </a:p>
      </xdr:txBody>
    </xdr:sp>
    <xdr:clientData/>
  </xdr:oneCellAnchor>
  <xdr:twoCellAnchor>
    <xdr:from>
      <xdr:col>20</xdr:col>
      <xdr:colOff>257175</xdr:colOff>
      <xdr:row>18</xdr:row>
      <xdr:rowOff>85725</xdr:rowOff>
    </xdr:from>
    <xdr:to>
      <xdr:col>21</xdr:col>
      <xdr:colOff>238125</xdr:colOff>
      <xdr:row>21</xdr:row>
      <xdr:rowOff>104775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790AD505-5410-4E9D-A382-603341833A42}"/>
            </a:ext>
          </a:extLst>
        </xdr:cNvPr>
        <xdr:cNvSpPr/>
      </xdr:nvSpPr>
      <xdr:spPr>
        <a:xfrm>
          <a:off x="14163675" y="35528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9</a:t>
          </a:r>
        </a:p>
      </xdr:txBody>
    </xdr:sp>
    <xdr:clientData/>
  </xdr:twoCellAnchor>
  <xdr:twoCellAnchor>
    <xdr:from>
      <xdr:col>22</xdr:col>
      <xdr:colOff>142875</xdr:colOff>
      <xdr:row>18</xdr:row>
      <xdr:rowOff>161925</xdr:rowOff>
    </xdr:from>
    <xdr:to>
      <xdr:col>23</xdr:col>
      <xdr:colOff>123825</xdr:colOff>
      <xdr:row>21</xdr:row>
      <xdr:rowOff>180975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ECE50223-397A-4D1B-8A36-F37577297E3A}"/>
            </a:ext>
          </a:extLst>
        </xdr:cNvPr>
        <xdr:cNvSpPr/>
      </xdr:nvSpPr>
      <xdr:spPr>
        <a:xfrm>
          <a:off x="15268575" y="36290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11</a:t>
          </a:r>
        </a:p>
      </xdr:txBody>
    </xdr:sp>
    <xdr:clientData/>
  </xdr:twoCellAnchor>
  <xdr:twoCellAnchor>
    <xdr:from>
      <xdr:col>12</xdr:col>
      <xdr:colOff>495300</xdr:colOff>
      <xdr:row>24</xdr:row>
      <xdr:rowOff>133350</xdr:rowOff>
    </xdr:from>
    <xdr:to>
      <xdr:col>13</xdr:col>
      <xdr:colOff>476250</xdr:colOff>
      <xdr:row>27</xdr:row>
      <xdr:rowOff>152400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2CEA7A69-D84B-480E-A21E-E7DA13A36616}"/>
            </a:ext>
          </a:extLst>
        </xdr:cNvPr>
        <xdr:cNvSpPr/>
      </xdr:nvSpPr>
      <xdr:spPr>
        <a:xfrm>
          <a:off x="9525000" y="47434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12</a:t>
          </a:r>
        </a:p>
      </xdr:txBody>
    </xdr:sp>
    <xdr:clientData/>
  </xdr:twoCellAnchor>
  <xdr:twoCellAnchor>
    <xdr:from>
      <xdr:col>13</xdr:col>
      <xdr:colOff>476250</xdr:colOff>
      <xdr:row>26</xdr:row>
      <xdr:rowOff>47625</xdr:rowOff>
    </xdr:from>
    <xdr:to>
      <xdr:col>16</xdr:col>
      <xdr:colOff>542925</xdr:colOff>
      <xdr:row>26</xdr:row>
      <xdr:rowOff>95250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E998B4BA-2E6E-47BA-8DF2-D48F8B71AFE8}"/>
            </a:ext>
          </a:extLst>
        </xdr:cNvPr>
        <xdr:cNvCxnSpPr>
          <a:stCxn id="35" idx="6"/>
          <a:endCxn id="37" idx="2"/>
        </xdr:cNvCxnSpPr>
      </xdr:nvCxnSpPr>
      <xdr:spPr>
        <a:xfrm>
          <a:off x="10115550" y="5038725"/>
          <a:ext cx="18954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542925</xdr:colOff>
      <xdr:row>24</xdr:row>
      <xdr:rowOff>180975</xdr:rowOff>
    </xdr:from>
    <xdr:to>
      <xdr:col>17</xdr:col>
      <xdr:colOff>523875</xdr:colOff>
      <xdr:row>28</xdr:row>
      <xdr:rowOff>9525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B37832A9-A9A5-42DD-BD8C-E52202D810C5}"/>
            </a:ext>
          </a:extLst>
        </xdr:cNvPr>
        <xdr:cNvSpPr/>
      </xdr:nvSpPr>
      <xdr:spPr>
        <a:xfrm>
          <a:off x="12011025" y="47910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13</a:t>
          </a:r>
        </a:p>
      </xdr:txBody>
    </xdr:sp>
    <xdr:clientData/>
  </xdr:twoCellAnchor>
  <xdr:oneCellAnchor>
    <xdr:from>
      <xdr:col>14</xdr:col>
      <xdr:colOff>171450</xdr:colOff>
      <xdr:row>24</xdr:row>
      <xdr:rowOff>133350</xdr:rowOff>
    </xdr:from>
    <xdr:ext cx="480260" cy="31149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A22D046-1A2B-4E18-B6A2-35DB25A340EA}"/>
            </a:ext>
          </a:extLst>
        </xdr:cNvPr>
        <xdr:cNvSpPr txBox="1"/>
      </xdr:nvSpPr>
      <xdr:spPr>
        <a:xfrm>
          <a:off x="10420350" y="4743450"/>
          <a:ext cx="4802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И=2</a:t>
          </a:r>
        </a:p>
      </xdr:txBody>
    </xdr:sp>
    <xdr:clientData/>
  </xdr:oneCellAnchor>
  <xdr:twoCellAnchor>
    <xdr:from>
      <xdr:col>17</xdr:col>
      <xdr:colOff>523875</xdr:colOff>
      <xdr:row>26</xdr:row>
      <xdr:rowOff>95250</xdr:rowOff>
    </xdr:from>
    <xdr:to>
      <xdr:col>23</xdr:col>
      <xdr:colOff>104775</xdr:colOff>
      <xdr:row>26</xdr:row>
      <xdr:rowOff>180975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96789F6B-CFB5-45A0-810A-456742D5F4E5}"/>
            </a:ext>
          </a:extLst>
        </xdr:cNvPr>
        <xdr:cNvCxnSpPr>
          <a:stCxn id="37" idx="6"/>
          <a:endCxn id="40" idx="2"/>
        </xdr:cNvCxnSpPr>
      </xdr:nvCxnSpPr>
      <xdr:spPr>
        <a:xfrm>
          <a:off x="12601575" y="5086350"/>
          <a:ext cx="3238500" cy="857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104775</xdr:colOff>
      <xdr:row>25</xdr:row>
      <xdr:rowOff>76200</xdr:rowOff>
    </xdr:from>
    <xdr:to>
      <xdr:col>24</xdr:col>
      <xdr:colOff>85725</xdr:colOff>
      <xdr:row>28</xdr:row>
      <xdr:rowOff>95250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6AA1B513-9C26-42A3-918B-83B4AEB33434}"/>
            </a:ext>
          </a:extLst>
        </xdr:cNvPr>
        <xdr:cNvSpPr/>
      </xdr:nvSpPr>
      <xdr:spPr>
        <a:xfrm>
          <a:off x="15840075" y="48768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14</a:t>
          </a:r>
        </a:p>
      </xdr:txBody>
    </xdr:sp>
    <xdr:clientData/>
  </xdr:twoCellAnchor>
  <xdr:twoCellAnchor>
    <xdr:from>
      <xdr:col>20</xdr:col>
      <xdr:colOff>552450</xdr:colOff>
      <xdr:row>21</xdr:row>
      <xdr:rowOff>104775</xdr:rowOff>
    </xdr:from>
    <xdr:to>
      <xdr:col>23</xdr:col>
      <xdr:colOff>191259</xdr:colOff>
      <xdr:row>25</xdr:row>
      <xdr:rowOff>162684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8D1C091E-44B3-49A5-9746-56240F5DE621}"/>
            </a:ext>
          </a:extLst>
        </xdr:cNvPr>
        <xdr:cNvCxnSpPr>
          <a:stCxn id="33" idx="4"/>
          <a:endCxn id="40" idx="1"/>
        </xdr:cNvCxnSpPr>
      </xdr:nvCxnSpPr>
      <xdr:spPr>
        <a:xfrm>
          <a:off x="14458950" y="4143375"/>
          <a:ext cx="1467609" cy="8199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229359</xdr:colOff>
      <xdr:row>21</xdr:row>
      <xdr:rowOff>94491</xdr:rowOff>
    </xdr:from>
    <xdr:to>
      <xdr:col>23</xdr:col>
      <xdr:colOff>400050</xdr:colOff>
      <xdr:row>25</xdr:row>
      <xdr:rowOff>76200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7D8485F5-1E33-4BF9-B7D1-0099563895DA}"/>
            </a:ext>
          </a:extLst>
        </xdr:cNvPr>
        <xdr:cNvCxnSpPr>
          <a:stCxn id="34" idx="3"/>
          <a:endCxn id="40" idx="0"/>
        </xdr:cNvCxnSpPr>
      </xdr:nvCxnSpPr>
      <xdr:spPr>
        <a:xfrm>
          <a:off x="15355059" y="4133091"/>
          <a:ext cx="780291" cy="7437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66675</xdr:colOff>
      <xdr:row>9</xdr:row>
      <xdr:rowOff>57150</xdr:rowOff>
    </xdr:from>
    <xdr:to>
      <xdr:col>24</xdr:col>
      <xdr:colOff>85725</xdr:colOff>
      <xdr:row>26</xdr:row>
      <xdr:rowOff>180975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0B9F4C0E-BBF2-4384-A1B2-61D2DEE74DF2}"/>
            </a:ext>
          </a:extLst>
        </xdr:cNvPr>
        <xdr:cNvCxnSpPr>
          <a:cxnSpLocks/>
          <a:stCxn id="40" idx="6"/>
          <a:endCxn id="56" idx="4"/>
        </xdr:cNvCxnSpPr>
      </xdr:nvCxnSpPr>
      <xdr:spPr>
        <a:xfrm flipH="1" flipV="1">
          <a:off x="16411575" y="1809750"/>
          <a:ext cx="19050" cy="3362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19050</xdr:colOff>
      <xdr:row>24</xdr:row>
      <xdr:rowOff>95250</xdr:rowOff>
    </xdr:from>
    <xdr:ext cx="638957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8359BAB-1EF1-41A0-B7E4-2716B1D8423B}"/>
            </a:ext>
          </a:extLst>
        </xdr:cNvPr>
        <xdr:cNvSpPr txBox="1"/>
      </xdr:nvSpPr>
      <xdr:spPr>
        <a:xfrm>
          <a:off x="15592425" y="4800600"/>
          <a:ext cx="638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К=1, 0</a:t>
          </a:r>
        </a:p>
      </xdr:txBody>
    </xdr:sp>
    <xdr:clientData/>
  </xdr:oneCellAnchor>
  <xdr:twoCellAnchor>
    <xdr:from>
      <xdr:col>17</xdr:col>
      <xdr:colOff>28575</xdr:colOff>
      <xdr:row>2</xdr:row>
      <xdr:rowOff>28575</xdr:rowOff>
    </xdr:from>
    <xdr:to>
      <xdr:col>18</xdr:col>
      <xdr:colOff>9525</xdr:colOff>
      <xdr:row>5</xdr:row>
      <xdr:rowOff>47625</xdr:rowOff>
    </xdr:to>
    <xdr:sp macro="" textlink="">
      <xdr:nvSpPr>
        <xdr:cNvPr id="45" name="Овал 44">
          <a:extLst>
            <a:ext uri="{FF2B5EF4-FFF2-40B4-BE49-F238E27FC236}">
              <a16:creationId xmlns:a16="http://schemas.microsoft.com/office/drawing/2014/main" id="{30B9E400-BEFB-4B3C-92B3-6D65179A8B56}"/>
            </a:ext>
          </a:extLst>
        </xdr:cNvPr>
        <xdr:cNvSpPr/>
      </xdr:nvSpPr>
      <xdr:spPr>
        <a:xfrm>
          <a:off x="12106275" y="4476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15</a:t>
          </a:r>
        </a:p>
      </xdr:txBody>
    </xdr:sp>
    <xdr:clientData/>
  </xdr:twoCellAnchor>
  <xdr:twoCellAnchor>
    <xdr:from>
      <xdr:col>15</xdr:col>
      <xdr:colOff>457200</xdr:colOff>
      <xdr:row>4</xdr:row>
      <xdr:rowOff>151641</xdr:rowOff>
    </xdr:from>
    <xdr:to>
      <xdr:col>17</xdr:col>
      <xdr:colOff>115059</xdr:colOff>
      <xdr:row>10</xdr:row>
      <xdr:rowOff>0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EE875175-C44C-439B-8CCF-7C668795F383}"/>
            </a:ext>
          </a:extLst>
        </xdr:cNvPr>
        <xdr:cNvCxnSpPr>
          <a:stCxn id="20" idx="0"/>
          <a:endCxn id="45" idx="3"/>
        </xdr:cNvCxnSpPr>
      </xdr:nvCxnSpPr>
      <xdr:spPr>
        <a:xfrm flipV="1">
          <a:off x="11315700" y="951741"/>
          <a:ext cx="877059" cy="9913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161925</xdr:colOff>
      <xdr:row>6</xdr:row>
      <xdr:rowOff>66675</xdr:rowOff>
    </xdr:from>
    <xdr:ext cx="876300" cy="311496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47AFF2D-AA79-45DC-A17A-85170DF660D3}"/>
            </a:ext>
          </a:extLst>
        </xdr:cNvPr>
        <xdr:cNvSpPr txBox="1"/>
      </xdr:nvSpPr>
      <xdr:spPr>
        <a:xfrm>
          <a:off x="10248900" y="1343025"/>
          <a:ext cx="8763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Л=3, 0</a:t>
          </a:r>
        </a:p>
      </xdr:txBody>
    </xdr:sp>
    <xdr:clientData/>
  </xdr:oneCellAnchor>
  <xdr:twoCellAnchor>
    <xdr:from>
      <xdr:col>17</xdr:col>
      <xdr:colOff>532641</xdr:colOff>
      <xdr:row>2</xdr:row>
      <xdr:rowOff>115059</xdr:rowOff>
    </xdr:from>
    <xdr:to>
      <xdr:col>23</xdr:col>
      <xdr:colOff>467484</xdr:colOff>
      <xdr:row>6</xdr:row>
      <xdr:rowOff>124584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6BC366D4-064C-4745-BAA9-E23816CB48AF}"/>
            </a:ext>
          </a:extLst>
        </xdr:cNvPr>
        <xdr:cNvCxnSpPr>
          <a:cxnSpLocks/>
          <a:stCxn id="45" idx="7"/>
          <a:endCxn id="56" idx="1"/>
        </xdr:cNvCxnSpPr>
      </xdr:nvCxnSpPr>
      <xdr:spPr>
        <a:xfrm>
          <a:off x="12610341" y="534159"/>
          <a:ext cx="3592443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180974</xdr:colOff>
      <xdr:row>1</xdr:row>
      <xdr:rowOff>85725</xdr:rowOff>
    </xdr:from>
    <xdr:ext cx="733425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1881B3A-BC4D-442D-8B9F-640A6824D880}"/>
            </a:ext>
          </a:extLst>
        </xdr:cNvPr>
        <xdr:cNvSpPr txBox="1"/>
      </xdr:nvSpPr>
      <xdr:spPr>
        <a:xfrm>
          <a:off x="12096749" y="276225"/>
          <a:ext cx="7334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М=7, 4</a:t>
          </a:r>
        </a:p>
      </xdr:txBody>
    </xdr:sp>
    <xdr:clientData/>
  </xdr:oneCellAnchor>
  <xdr:twoCellAnchor>
    <xdr:from>
      <xdr:col>18</xdr:col>
      <xdr:colOff>542925</xdr:colOff>
      <xdr:row>7</xdr:row>
      <xdr:rowOff>38100</xdr:rowOff>
    </xdr:from>
    <xdr:to>
      <xdr:col>19</xdr:col>
      <xdr:colOff>600075</xdr:colOff>
      <xdr:row>7</xdr:row>
      <xdr:rowOff>171450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3F2CDE0D-0424-4BF3-A457-5F0BBAF6B5DC}"/>
            </a:ext>
          </a:extLst>
        </xdr:cNvPr>
        <xdr:cNvCxnSpPr>
          <a:stCxn id="11" idx="6"/>
          <a:endCxn id="51" idx="2"/>
        </xdr:cNvCxnSpPr>
      </xdr:nvCxnSpPr>
      <xdr:spPr>
        <a:xfrm>
          <a:off x="13230225" y="1409700"/>
          <a:ext cx="666750" cy="1333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600075</xdr:colOff>
      <xdr:row>6</xdr:row>
      <xdr:rowOff>66675</xdr:rowOff>
    </xdr:from>
    <xdr:to>
      <xdr:col>20</xdr:col>
      <xdr:colOff>581025</xdr:colOff>
      <xdr:row>9</xdr:row>
      <xdr:rowOff>85725</xdr:rowOff>
    </xdr:to>
    <xdr:sp macro="" textlink="">
      <xdr:nvSpPr>
        <xdr:cNvPr id="51" name="Овал 50">
          <a:extLst>
            <a:ext uri="{FF2B5EF4-FFF2-40B4-BE49-F238E27FC236}">
              <a16:creationId xmlns:a16="http://schemas.microsoft.com/office/drawing/2014/main" id="{7A92103E-750F-4908-9A24-5DAC345E28D0}"/>
            </a:ext>
          </a:extLst>
        </xdr:cNvPr>
        <xdr:cNvSpPr/>
      </xdr:nvSpPr>
      <xdr:spPr>
        <a:xfrm>
          <a:off x="13896975" y="12477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16</a:t>
          </a:r>
        </a:p>
      </xdr:txBody>
    </xdr:sp>
    <xdr:clientData/>
  </xdr:twoCellAnchor>
  <xdr:twoCellAnchor>
    <xdr:from>
      <xdr:col>18</xdr:col>
      <xdr:colOff>570741</xdr:colOff>
      <xdr:row>8</xdr:row>
      <xdr:rowOff>189741</xdr:rowOff>
    </xdr:from>
    <xdr:to>
      <xdr:col>20</xdr:col>
      <xdr:colOff>76959</xdr:colOff>
      <xdr:row>10</xdr:row>
      <xdr:rowOff>67434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461717B7-52BD-4B03-992B-928CD0660D3E}"/>
            </a:ext>
          </a:extLst>
        </xdr:cNvPr>
        <xdr:cNvCxnSpPr>
          <a:stCxn id="23" idx="7"/>
          <a:endCxn id="51" idx="3"/>
        </xdr:cNvCxnSpPr>
      </xdr:nvCxnSpPr>
      <xdr:spPr>
        <a:xfrm flipV="1">
          <a:off x="13258041" y="1751841"/>
          <a:ext cx="725418" cy="2586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9</xdr:row>
      <xdr:rowOff>85725</xdr:rowOff>
    </xdr:from>
    <xdr:to>
      <xdr:col>20</xdr:col>
      <xdr:colOff>285750</xdr:colOff>
      <xdr:row>16</xdr:row>
      <xdr:rowOff>133350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75AF0FEB-96E2-45DC-BA19-BE77C726937A}"/>
            </a:ext>
          </a:extLst>
        </xdr:cNvPr>
        <xdr:cNvCxnSpPr>
          <a:stCxn id="16" idx="0"/>
          <a:endCxn id="51" idx="4"/>
        </xdr:cNvCxnSpPr>
      </xdr:nvCxnSpPr>
      <xdr:spPr>
        <a:xfrm flipV="1">
          <a:off x="13601700" y="1838325"/>
          <a:ext cx="590550" cy="13811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581025</xdr:colOff>
      <xdr:row>7</xdr:row>
      <xdr:rowOff>142875</xdr:rowOff>
    </xdr:from>
    <xdr:to>
      <xdr:col>23</xdr:col>
      <xdr:colOff>381000</xdr:colOff>
      <xdr:row>7</xdr:row>
      <xdr:rowOff>171450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06218B3E-072F-4240-B464-6115B3F324C5}"/>
            </a:ext>
          </a:extLst>
        </xdr:cNvPr>
        <xdr:cNvCxnSpPr>
          <a:stCxn id="51" idx="6"/>
          <a:endCxn id="56" idx="2"/>
        </xdr:cNvCxnSpPr>
      </xdr:nvCxnSpPr>
      <xdr:spPr>
        <a:xfrm flipV="1">
          <a:off x="14487525" y="1514475"/>
          <a:ext cx="16287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28575</xdr:colOff>
      <xdr:row>6</xdr:row>
      <xdr:rowOff>66675</xdr:rowOff>
    </xdr:from>
    <xdr:ext cx="895350" cy="31149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0E7AE37-14B9-41E6-8BBF-9210C0EDD90A}"/>
            </a:ext>
          </a:extLst>
        </xdr:cNvPr>
        <xdr:cNvSpPr txBox="1"/>
      </xdr:nvSpPr>
      <xdr:spPr>
        <a:xfrm>
          <a:off x="13773150" y="1343025"/>
          <a:ext cx="8953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О=8, 7, 6</a:t>
          </a:r>
        </a:p>
      </xdr:txBody>
    </xdr:sp>
    <xdr:clientData/>
  </xdr:oneCellAnchor>
  <xdr:twoCellAnchor>
    <xdr:from>
      <xdr:col>23</xdr:col>
      <xdr:colOff>381000</xdr:colOff>
      <xdr:row>6</xdr:row>
      <xdr:rowOff>38100</xdr:rowOff>
    </xdr:from>
    <xdr:to>
      <xdr:col>24</xdr:col>
      <xdr:colOff>361950</xdr:colOff>
      <xdr:row>9</xdr:row>
      <xdr:rowOff>57150</xdr:rowOff>
    </xdr:to>
    <xdr:sp macro="" textlink="">
      <xdr:nvSpPr>
        <xdr:cNvPr id="56" name="Овал 55">
          <a:extLst>
            <a:ext uri="{FF2B5EF4-FFF2-40B4-BE49-F238E27FC236}">
              <a16:creationId xmlns:a16="http://schemas.microsoft.com/office/drawing/2014/main" id="{06391F73-1DF8-4D7B-ADAA-11B848DBEE35}"/>
            </a:ext>
          </a:extLst>
        </xdr:cNvPr>
        <xdr:cNvSpPr/>
      </xdr:nvSpPr>
      <xdr:spPr>
        <a:xfrm>
          <a:off x="16116300" y="12192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17</a:t>
          </a:r>
        </a:p>
      </xdr:txBody>
    </xdr:sp>
    <xdr:clientData/>
  </xdr:twoCellAnchor>
  <xdr:twoCellAnchor>
    <xdr:from>
      <xdr:col>16</xdr:col>
      <xdr:colOff>133350</xdr:colOff>
      <xdr:row>5</xdr:row>
      <xdr:rowOff>57150</xdr:rowOff>
    </xdr:from>
    <xdr:to>
      <xdr:col>16</xdr:col>
      <xdr:colOff>419100</xdr:colOff>
      <xdr:row>8</xdr:row>
      <xdr:rowOff>47625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5BE737DF-680A-4944-A469-88446E44491C}"/>
            </a:ext>
          </a:extLst>
        </xdr:cNvPr>
        <xdr:cNvCxnSpPr/>
      </xdr:nvCxnSpPr>
      <xdr:spPr>
        <a:xfrm>
          <a:off x="10829925" y="1143000"/>
          <a:ext cx="285750" cy="5619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4</xdr:row>
      <xdr:rowOff>161925</xdr:rowOff>
    </xdr:from>
    <xdr:to>
      <xdr:col>16</xdr:col>
      <xdr:colOff>542925</xdr:colOff>
      <xdr:row>9</xdr:row>
      <xdr:rowOff>95250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FBE01BA1-B813-4CE5-9F9C-05B441B1C2E9}"/>
            </a:ext>
          </a:extLst>
        </xdr:cNvPr>
        <xdr:cNvCxnSpPr/>
      </xdr:nvCxnSpPr>
      <xdr:spPr>
        <a:xfrm flipH="1">
          <a:off x="10763250" y="1057275"/>
          <a:ext cx="476250" cy="8858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12</xdr:row>
      <xdr:rowOff>152400</xdr:rowOff>
    </xdr:from>
    <xdr:to>
      <xdr:col>12</xdr:col>
      <xdr:colOff>190500</xdr:colOff>
      <xdr:row>15</xdr:row>
      <xdr:rowOff>142875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F5F124A0-0FA1-4D65-93EF-1F72FAC559EE}"/>
            </a:ext>
          </a:extLst>
        </xdr:cNvPr>
        <xdr:cNvCxnSpPr/>
      </xdr:nvCxnSpPr>
      <xdr:spPr>
        <a:xfrm>
          <a:off x="8162925" y="2571750"/>
          <a:ext cx="285750" cy="5619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447675</xdr:colOff>
      <xdr:row>12</xdr:row>
      <xdr:rowOff>66675</xdr:rowOff>
    </xdr:from>
    <xdr:to>
      <xdr:col>12</xdr:col>
      <xdr:colOff>314325</xdr:colOff>
      <xdr:row>17</xdr:row>
      <xdr:rowOff>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9F33A111-ACB6-428D-9777-DD0FF4344082}"/>
            </a:ext>
          </a:extLst>
        </xdr:cNvPr>
        <xdr:cNvCxnSpPr/>
      </xdr:nvCxnSpPr>
      <xdr:spPr>
        <a:xfrm flipH="1">
          <a:off x="8096250" y="2486025"/>
          <a:ext cx="476250" cy="8858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523875</xdr:colOff>
      <xdr:row>15</xdr:row>
      <xdr:rowOff>171450</xdr:rowOff>
    </xdr:from>
    <xdr:to>
      <xdr:col>24</xdr:col>
      <xdr:colOff>200025</xdr:colOff>
      <xdr:row>18</xdr:row>
      <xdr:rowOff>161925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5618CC2B-3F2C-4FE2-9C2A-2FA66C13C79C}"/>
            </a:ext>
          </a:extLst>
        </xdr:cNvPr>
        <xdr:cNvCxnSpPr/>
      </xdr:nvCxnSpPr>
      <xdr:spPr>
        <a:xfrm>
          <a:off x="15487650" y="3162300"/>
          <a:ext cx="285750" cy="5619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457200</xdr:colOff>
      <xdr:row>15</xdr:row>
      <xdr:rowOff>85725</xdr:rowOff>
    </xdr:from>
    <xdr:to>
      <xdr:col>24</xdr:col>
      <xdr:colOff>323850</xdr:colOff>
      <xdr:row>20</xdr:row>
      <xdr:rowOff>19050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77E20AED-843D-407F-A071-ABC8A6F40E8A}"/>
            </a:ext>
          </a:extLst>
        </xdr:cNvPr>
        <xdr:cNvCxnSpPr/>
      </xdr:nvCxnSpPr>
      <xdr:spPr>
        <a:xfrm flipH="1">
          <a:off x="15420975" y="3076575"/>
          <a:ext cx="476250" cy="8858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16</xdr:row>
      <xdr:rowOff>57150</xdr:rowOff>
    </xdr:from>
    <xdr:to>
      <xdr:col>12</xdr:col>
      <xdr:colOff>457200</xdr:colOff>
      <xdr:row>19</xdr:row>
      <xdr:rowOff>47625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CFFBAB35-1A45-4F7C-83D7-EA6DE8C8B805}"/>
            </a:ext>
          </a:extLst>
        </xdr:cNvPr>
        <xdr:cNvCxnSpPr/>
      </xdr:nvCxnSpPr>
      <xdr:spPr>
        <a:xfrm>
          <a:off x="8429625" y="3238500"/>
          <a:ext cx="285750" cy="5619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15</xdr:row>
      <xdr:rowOff>161925</xdr:rowOff>
    </xdr:from>
    <xdr:to>
      <xdr:col>12</xdr:col>
      <xdr:colOff>581025</xdr:colOff>
      <xdr:row>20</xdr:row>
      <xdr:rowOff>95250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896E130E-8817-4283-BE4D-4EB33B6EAE25}"/>
            </a:ext>
          </a:extLst>
        </xdr:cNvPr>
        <xdr:cNvCxnSpPr/>
      </xdr:nvCxnSpPr>
      <xdr:spPr>
        <a:xfrm flipH="1">
          <a:off x="8362950" y="3152775"/>
          <a:ext cx="476250" cy="8858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M36" sqref="M36"/>
    </sheetView>
  </sheetViews>
  <sheetFormatPr defaultRowHeight="15"/>
  <cols>
    <col min="1" max="1" width="18.140625" customWidth="1"/>
    <col min="2" max="2" width="16.7109375" customWidth="1"/>
    <col min="5" max="7" width="4.85546875" customWidth="1"/>
    <col min="9" max="9" width="18.7109375" customWidth="1"/>
    <col min="10" max="10" width="12.7109375" customWidth="1"/>
    <col min="12" max="12" width="9.140625" customWidth="1"/>
  </cols>
  <sheetData>
    <row r="1" spans="1:12" ht="31.5" customHeight="1">
      <c r="A1" s="1" t="s">
        <v>0</v>
      </c>
      <c r="B1" s="1" t="s">
        <v>1</v>
      </c>
      <c r="C1" s="2"/>
      <c r="E1" s="2" t="s">
        <v>22</v>
      </c>
      <c r="F1" s="2" t="s">
        <v>23</v>
      </c>
      <c r="G1" s="2" t="s">
        <v>24</v>
      </c>
      <c r="I1" s="4" t="s">
        <v>25</v>
      </c>
      <c r="J1" s="4" t="s">
        <v>26</v>
      </c>
    </row>
    <row r="2" spans="1:12">
      <c r="A2" s="3" t="s">
        <v>2</v>
      </c>
      <c r="B2" s="3" t="s">
        <v>12</v>
      </c>
      <c r="C2" s="3">
        <v>4</v>
      </c>
      <c r="E2" s="2">
        <v>1</v>
      </c>
      <c r="F2" s="2">
        <v>2</v>
      </c>
      <c r="G2" s="2">
        <v>4</v>
      </c>
      <c r="I2" s="3" t="s">
        <v>32</v>
      </c>
      <c r="J2" s="2">
        <f>G2+G5+G13+G24</f>
        <v>14</v>
      </c>
      <c r="L2" s="7"/>
    </row>
    <row r="3" spans="1:12">
      <c r="A3" s="3" t="s">
        <v>2</v>
      </c>
      <c r="B3" s="3" t="s">
        <v>3</v>
      </c>
      <c r="C3" s="3">
        <v>2</v>
      </c>
      <c r="E3" s="2">
        <v>1</v>
      </c>
      <c r="F3" s="2">
        <v>3</v>
      </c>
      <c r="G3" s="2">
        <v>2</v>
      </c>
      <c r="I3" s="3" t="s">
        <v>33</v>
      </c>
      <c r="J3" s="2">
        <f>G2+G5+G12+G19+G25</f>
        <v>16</v>
      </c>
      <c r="L3" s="7"/>
    </row>
    <row r="4" spans="1:12">
      <c r="A4" s="3" t="s">
        <v>3</v>
      </c>
      <c r="B4" s="3" t="s">
        <v>4</v>
      </c>
      <c r="C4" s="3">
        <v>7</v>
      </c>
      <c r="E4" s="2">
        <v>1</v>
      </c>
      <c r="F4" s="2">
        <v>12</v>
      </c>
      <c r="G4" s="2">
        <v>5</v>
      </c>
      <c r="I4" s="3" t="s">
        <v>34</v>
      </c>
      <c r="J4" s="2">
        <f>G2+G5+G11+G14+G16+G18+G23</f>
        <v>16</v>
      </c>
      <c r="L4" s="7"/>
    </row>
    <row r="5" spans="1:12">
      <c r="A5" s="3" t="s">
        <v>4</v>
      </c>
      <c r="B5" s="3" t="s">
        <v>13</v>
      </c>
      <c r="C5" s="3">
        <v>8</v>
      </c>
      <c r="E5" s="2">
        <v>2</v>
      </c>
      <c r="F5" s="2">
        <v>6</v>
      </c>
      <c r="G5" s="2">
        <v>0</v>
      </c>
      <c r="I5" s="3" t="s">
        <v>35</v>
      </c>
      <c r="J5" s="2">
        <f>G2+G5+G11+G14+G17+G20+G23</f>
        <v>16</v>
      </c>
      <c r="L5" s="7"/>
    </row>
    <row r="6" spans="1:12">
      <c r="A6" s="3" t="s">
        <v>5</v>
      </c>
      <c r="B6" s="3" t="s">
        <v>14</v>
      </c>
      <c r="C6" s="3">
        <v>5</v>
      </c>
      <c r="E6" s="2">
        <v>3</v>
      </c>
      <c r="F6" s="2">
        <v>4</v>
      </c>
      <c r="G6" s="2">
        <v>7</v>
      </c>
      <c r="I6" s="3" t="s">
        <v>36</v>
      </c>
      <c r="J6" s="2">
        <f>G2+G5+G11+G15+G25</f>
        <v>17</v>
      </c>
      <c r="L6" s="7"/>
    </row>
    <row r="7" spans="1:12">
      <c r="A7" s="3" t="s">
        <v>6</v>
      </c>
      <c r="B7" s="3" t="s">
        <v>15</v>
      </c>
      <c r="C7" s="3">
        <v>6</v>
      </c>
      <c r="E7" s="2">
        <v>3</v>
      </c>
      <c r="F7" s="2">
        <v>6</v>
      </c>
      <c r="G7" s="2">
        <v>0</v>
      </c>
      <c r="I7" s="5" t="s">
        <v>37</v>
      </c>
      <c r="J7" s="2">
        <f>G3+G6+G8+G9+G16+G18+G23</f>
        <v>24</v>
      </c>
      <c r="L7" s="7"/>
    </row>
    <row r="8" spans="1:12">
      <c r="A8" s="3" t="s">
        <v>5</v>
      </c>
      <c r="B8" s="3" t="s">
        <v>16</v>
      </c>
      <c r="C8" s="3">
        <v>4</v>
      </c>
      <c r="E8" s="2">
        <v>4</v>
      </c>
      <c r="F8" s="2">
        <v>5</v>
      </c>
      <c r="G8" s="2">
        <v>8</v>
      </c>
      <c r="I8" s="3" t="s">
        <v>38</v>
      </c>
      <c r="J8" s="2">
        <f>G3+G6+G8+G9+G17+G20+G23</f>
        <v>24</v>
      </c>
      <c r="L8" s="7"/>
    </row>
    <row r="9" spans="1:12">
      <c r="A9" s="3" t="s">
        <v>7</v>
      </c>
      <c r="B9" s="3" t="s">
        <v>17</v>
      </c>
      <c r="C9" s="3">
        <v>6</v>
      </c>
      <c r="E9" s="2">
        <v>5</v>
      </c>
      <c r="F9" s="2">
        <v>8</v>
      </c>
      <c r="G9" s="2">
        <v>0</v>
      </c>
      <c r="I9" s="3" t="s">
        <v>39</v>
      </c>
      <c r="J9" s="2">
        <f>G3+G6+G8+G10+G25</f>
        <v>25</v>
      </c>
      <c r="L9" s="7"/>
    </row>
    <row r="10" spans="1:12">
      <c r="A10" s="3" t="s">
        <v>2</v>
      </c>
      <c r="B10" s="3" t="s">
        <v>8</v>
      </c>
      <c r="C10" s="3">
        <v>5</v>
      </c>
      <c r="E10" s="2">
        <v>5</v>
      </c>
      <c r="F10" s="2">
        <v>16</v>
      </c>
      <c r="G10" s="2">
        <v>0</v>
      </c>
      <c r="I10" s="3" t="s">
        <v>40</v>
      </c>
      <c r="J10" s="2">
        <f>G3+G7+G13+G24</f>
        <v>12</v>
      </c>
      <c r="L10" s="7"/>
    </row>
    <row r="11" spans="1:12">
      <c r="A11" s="3" t="s">
        <v>8</v>
      </c>
      <c r="B11" s="3" t="s">
        <v>18</v>
      </c>
      <c r="C11" s="3">
        <v>2</v>
      </c>
      <c r="E11" s="2">
        <v>6</v>
      </c>
      <c r="F11" s="2">
        <v>7</v>
      </c>
      <c r="G11" s="2">
        <v>5</v>
      </c>
      <c r="I11" s="3" t="s">
        <v>41</v>
      </c>
      <c r="J11" s="2">
        <f>G3+G7+G12+G19+G25</f>
        <v>14</v>
      </c>
      <c r="L11" s="7"/>
    </row>
    <row r="12" spans="1:12">
      <c r="A12" s="3" t="s">
        <v>9</v>
      </c>
      <c r="B12" s="3" t="s">
        <v>19</v>
      </c>
      <c r="C12" s="3">
        <v>1</v>
      </c>
      <c r="E12" s="2">
        <v>6</v>
      </c>
      <c r="F12" s="2">
        <v>10</v>
      </c>
      <c r="G12" s="2">
        <v>4</v>
      </c>
      <c r="I12" s="3" t="s">
        <v>42</v>
      </c>
      <c r="J12" s="2">
        <f>G3+G7+G11+G14+G16+G20+G23</f>
        <v>14</v>
      </c>
      <c r="L12" s="7"/>
    </row>
    <row r="13" spans="1:12">
      <c r="A13" s="3" t="s">
        <v>5</v>
      </c>
      <c r="B13" s="3" t="s">
        <v>10</v>
      </c>
      <c r="C13" s="3">
        <v>3</v>
      </c>
      <c r="E13" s="2">
        <v>6</v>
      </c>
      <c r="F13" s="2">
        <v>15</v>
      </c>
      <c r="G13" s="2">
        <v>3</v>
      </c>
      <c r="I13" s="2" t="s">
        <v>43</v>
      </c>
      <c r="J13" s="2">
        <f>G3+G7+G11+G14+G17+G20+G23</f>
        <v>14</v>
      </c>
    </row>
    <row r="14" spans="1:12">
      <c r="A14" s="3" t="s">
        <v>10</v>
      </c>
      <c r="B14" s="3" t="s">
        <v>20</v>
      </c>
      <c r="C14" s="3">
        <v>7</v>
      </c>
      <c r="E14" s="2">
        <v>7</v>
      </c>
      <c r="F14" s="2">
        <v>8</v>
      </c>
      <c r="G14" s="2">
        <v>0</v>
      </c>
      <c r="I14" s="2" t="s">
        <v>44</v>
      </c>
      <c r="J14" s="2">
        <f>G3+G7+G11+G15+G25</f>
        <v>15</v>
      </c>
    </row>
    <row r="15" spans="1:12">
      <c r="A15" s="3" t="s">
        <v>11</v>
      </c>
      <c r="B15" s="3" t="s">
        <v>21</v>
      </c>
      <c r="C15" s="3">
        <v>8</v>
      </c>
      <c r="E15" s="2">
        <v>7</v>
      </c>
      <c r="F15" s="2">
        <v>16</v>
      </c>
      <c r="G15" s="2">
        <v>0</v>
      </c>
      <c r="I15" s="2" t="s">
        <v>45</v>
      </c>
      <c r="J15" s="2">
        <f>G4+G21+G22+G23</f>
        <v>8</v>
      </c>
    </row>
    <row r="16" spans="1:12">
      <c r="E16" s="2">
        <v>8</v>
      </c>
      <c r="F16" s="2">
        <v>9</v>
      </c>
      <c r="G16" s="2">
        <v>6</v>
      </c>
      <c r="I16" s="3" t="s">
        <v>27</v>
      </c>
      <c r="J16" s="3">
        <f>MIN(J2:J15)</f>
        <v>8</v>
      </c>
    </row>
    <row r="17" spans="5:7">
      <c r="E17" s="2">
        <v>8</v>
      </c>
      <c r="F17" s="2">
        <v>11</v>
      </c>
      <c r="G17" s="2">
        <v>6</v>
      </c>
    </row>
    <row r="18" spans="5:7" ht="12.75" customHeight="1">
      <c r="E18" s="2">
        <v>9</v>
      </c>
      <c r="F18" s="2">
        <v>14</v>
      </c>
      <c r="G18" s="2">
        <v>0</v>
      </c>
    </row>
    <row r="19" spans="5:7">
      <c r="E19" s="2">
        <v>10</v>
      </c>
      <c r="F19" s="2">
        <v>16</v>
      </c>
      <c r="G19" s="2">
        <v>0</v>
      </c>
    </row>
    <row r="20" spans="5:7">
      <c r="E20" s="2">
        <v>11</v>
      </c>
      <c r="F20" s="2">
        <v>14</v>
      </c>
      <c r="G20" s="2">
        <v>0</v>
      </c>
    </row>
    <row r="21" spans="5:7">
      <c r="E21" s="2">
        <v>12</v>
      </c>
      <c r="F21" s="2">
        <v>13</v>
      </c>
      <c r="G21" s="2">
        <v>2</v>
      </c>
    </row>
    <row r="22" spans="5:7">
      <c r="E22" s="2">
        <v>13</v>
      </c>
      <c r="F22" s="2">
        <v>14</v>
      </c>
      <c r="G22" s="2">
        <v>0</v>
      </c>
    </row>
    <row r="23" spans="5:7">
      <c r="E23" s="2">
        <v>14</v>
      </c>
      <c r="F23" s="2">
        <v>17</v>
      </c>
      <c r="G23" s="2">
        <v>1</v>
      </c>
    </row>
    <row r="24" spans="5:7">
      <c r="E24" s="2">
        <v>15</v>
      </c>
      <c r="F24" s="2">
        <v>17</v>
      </c>
      <c r="G24" s="2">
        <v>7</v>
      </c>
    </row>
    <row r="25" spans="5:7">
      <c r="E25" s="2">
        <v>16</v>
      </c>
      <c r="F25" s="2">
        <v>17</v>
      </c>
      <c r="G25" s="2">
        <v>8</v>
      </c>
    </row>
    <row r="36" spans="13:13">
      <c r="M36" t="s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2E3D-5FE3-49F8-A552-97FC259BD8DE}">
  <dimension ref="A1:N26"/>
  <sheetViews>
    <sheetView workbookViewId="0">
      <selection activeCell="E3" sqref="E3"/>
    </sheetView>
  </sheetViews>
  <sheetFormatPr defaultRowHeight="15"/>
  <cols>
    <col min="4" max="4" width="13.42578125" customWidth="1"/>
    <col min="5" max="5" width="12.28515625" customWidth="1"/>
  </cols>
  <sheetData>
    <row r="1" spans="1:14">
      <c r="A1" t="s">
        <v>28</v>
      </c>
    </row>
    <row r="2" spans="1:14" ht="18">
      <c r="A2" s="2" t="s">
        <v>22</v>
      </c>
      <c r="B2" s="2" t="s">
        <v>23</v>
      </c>
      <c r="C2" s="2" t="s">
        <v>24</v>
      </c>
      <c r="D2" s="2" t="s">
        <v>29</v>
      </c>
      <c r="E2" s="2" t="s">
        <v>30</v>
      </c>
      <c r="F2" s="2" t="s">
        <v>31</v>
      </c>
      <c r="M2" s="7"/>
      <c r="N2" s="7"/>
    </row>
    <row r="3" spans="1:14">
      <c r="A3" s="2">
        <v>1</v>
      </c>
      <c r="B3" s="2">
        <v>2</v>
      </c>
      <c r="C3" s="2">
        <v>4</v>
      </c>
      <c r="D3" s="2">
        <v>0</v>
      </c>
      <c r="E3" s="2">
        <f>D3+D4+D5</f>
        <v>1</v>
      </c>
      <c r="F3" s="6">
        <f>SUMPRODUCT(C3:C26,D3:D26)</f>
        <v>8</v>
      </c>
      <c r="M3" s="7"/>
      <c r="N3" s="7"/>
    </row>
    <row r="4" spans="1:14">
      <c r="A4" s="2">
        <v>1</v>
      </c>
      <c r="B4" s="2">
        <v>3</v>
      </c>
      <c r="C4" s="2">
        <v>2</v>
      </c>
      <c r="D4" s="2">
        <v>0</v>
      </c>
      <c r="E4" s="2">
        <f>D3-D6</f>
        <v>0</v>
      </c>
      <c r="M4" s="7"/>
      <c r="N4" s="7"/>
    </row>
    <row r="5" spans="1:14">
      <c r="A5" s="2">
        <v>1</v>
      </c>
      <c r="B5" s="2">
        <v>12</v>
      </c>
      <c r="C5" s="2">
        <v>5</v>
      </c>
      <c r="D5" s="2">
        <v>1</v>
      </c>
      <c r="E5" s="2">
        <f>D4-D7-D8</f>
        <v>0</v>
      </c>
      <c r="M5" s="7"/>
      <c r="N5" s="7"/>
    </row>
    <row r="6" spans="1:14">
      <c r="A6" s="2">
        <v>2</v>
      </c>
      <c r="B6" s="2">
        <v>6</v>
      </c>
      <c r="C6" s="2">
        <v>0</v>
      </c>
      <c r="D6" s="2">
        <v>0</v>
      </c>
      <c r="E6" s="2">
        <f>D7-D9</f>
        <v>0</v>
      </c>
      <c r="M6" s="7"/>
      <c r="N6" s="7"/>
    </row>
    <row r="7" spans="1:14">
      <c r="A7" s="2">
        <v>3</v>
      </c>
      <c r="B7" s="2">
        <v>4</v>
      </c>
      <c r="C7" s="2">
        <v>7</v>
      </c>
      <c r="D7" s="2">
        <v>0</v>
      </c>
      <c r="E7" s="2">
        <f>D9-D10-D11</f>
        <v>0</v>
      </c>
      <c r="M7" s="7"/>
      <c r="N7" s="7"/>
    </row>
    <row r="8" spans="1:14">
      <c r="A8" s="2">
        <v>3</v>
      </c>
      <c r="B8" s="2">
        <v>6</v>
      </c>
      <c r="C8" s="2">
        <v>0</v>
      </c>
      <c r="D8" s="2">
        <v>0</v>
      </c>
      <c r="E8" s="2">
        <f>D6+D8-D12-D13-D14</f>
        <v>0</v>
      </c>
    </row>
    <row r="9" spans="1:14">
      <c r="A9" s="2">
        <v>4</v>
      </c>
      <c r="B9" s="2">
        <v>5</v>
      </c>
      <c r="C9" s="2">
        <v>8</v>
      </c>
      <c r="D9" s="2">
        <v>0</v>
      </c>
      <c r="E9" s="2">
        <f>D12-D15-D16</f>
        <v>0</v>
      </c>
    </row>
    <row r="10" spans="1:14">
      <c r="A10" s="2">
        <v>5</v>
      </c>
      <c r="B10" s="2">
        <v>8</v>
      </c>
      <c r="C10" s="2">
        <v>0</v>
      </c>
      <c r="D10" s="2">
        <v>0</v>
      </c>
      <c r="E10" s="2">
        <f>D10+D15-D17-D18</f>
        <v>0</v>
      </c>
    </row>
    <row r="11" spans="1:14">
      <c r="A11" s="2">
        <v>5</v>
      </c>
      <c r="B11" s="2">
        <v>16</v>
      </c>
      <c r="C11" s="2">
        <v>0</v>
      </c>
      <c r="D11" s="2">
        <v>0</v>
      </c>
      <c r="E11" s="2">
        <f>D17-D19</f>
        <v>0</v>
      </c>
    </row>
    <row r="12" spans="1:14">
      <c r="A12" s="2">
        <v>6</v>
      </c>
      <c r="B12" s="2">
        <v>7</v>
      </c>
      <c r="C12" s="2">
        <v>5</v>
      </c>
      <c r="D12" s="2">
        <v>0</v>
      </c>
      <c r="E12" s="2">
        <f>D13-D20</f>
        <v>0</v>
      </c>
    </row>
    <row r="13" spans="1:14">
      <c r="A13" s="2">
        <v>6</v>
      </c>
      <c r="B13" s="2">
        <v>10</v>
      </c>
      <c r="C13" s="2">
        <v>4</v>
      </c>
      <c r="D13" s="2">
        <v>0</v>
      </c>
      <c r="E13" s="2">
        <f>D18-D21</f>
        <v>0</v>
      </c>
    </row>
    <row r="14" spans="1:14">
      <c r="A14" s="2">
        <v>6</v>
      </c>
      <c r="B14" s="2">
        <v>15</v>
      </c>
      <c r="C14" s="2">
        <v>3</v>
      </c>
      <c r="D14" s="2">
        <v>0</v>
      </c>
      <c r="E14" s="2">
        <f>D5-D22</f>
        <v>0</v>
      </c>
    </row>
    <row r="15" spans="1:14">
      <c r="A15" s="2">
        <v>7</v>
      </c>
      <c r="B15" s="2">
        <v>8</v>
      </c>
      <c r="C15" s="2">
        <v>0</v>
      </c>
      <c r="D15" s="2">
        <v>0</v>
      </c>
      <c r="E15" s="2">
        <f>D22-D23</f>
        <v>0</v>
      </c>
    </row>
    <row r="16" spans="1:14">
      <c r="A16" s="2">
        <v>7</v>
      </c>
      <c r="B16" s="2">
        <v>16</v>
      </c>
      <c r="C16" s="2">
        <v>0</v>
      </c>
      <c r="D16" s="2">
        <v>0</v>
      </c>
      <c r="E16" s="2">
        <f>D19+D21+D23-D24</f>
        <v>0</v>
      </c>
    </row>
    <row r="17" spans="1:5">
      <c r="A17" s="2">
        <v>8</v>
      </c>
      <c r="B17" s="2">
        <v>9</v>
      </c>
      <c r="C17" s="2">
        <v>6</v>
      </c>
      <c r="D17" s="2">
        <v>0</v>
      </c>
      <c r="E17" s="2">
        <f>D14-D25</f>
        <v>0</v>
      </c>
    </row>
    <row r="18" spans="1:5">
      <c r="A18" s="2">
        <v>8</v>
      </c>
      <c r="B18" s="2">
        <v>11</v>
      </c>
      <c r="C18" s="2">
        <v>6</v>
      </c>
      <c r="D18" s="2">
        <v>0</v>
      </c>
      <c r="E18" s="2">
        <f>D11+D16+D20-D26</f>
        <v>0</v>
      </c>
    </row>
    <row r="19" spans="1:5">
      <c r="A19" s="2">
        <v>9</v>
      </c>
      <c r="B19" s="2">
        <v>14</v>
      </c>
      <c r="C19" s="2">
        <v>0</v>
      </c>
      <c r="D19" s="2">
        <v>0</v>
      </c>
      <c r="E19" s="2">
        <f>D24+D25+D26</f>
        <v>1</v>
      </c>
    </row>
    <row r="20" spans="1:5">
      <c r="A20" s="2">
        <v>10</v>
      </c>
      <c r="B20" s="2">
        <v>16</v>
      </c>
      <c r="C20" s="2">
        <v>0</v>
      </c>
      <c r="D20" s="2">
        <v>0</v>
      </c>
    </row>
    <row r="21" spans="1:5">
      <c r="A21" s="2">
        <v>11</v>
      </c>
      <c r="B21" s="2">
        <v>14</v>
      </c>
      <c r="C21" s="2">
        <v>0</v>
      </c>
      <c r="D21" s="2">
        <v>0</v>
      </c>
    </row>
    <row r="22" spans="1:5">
      <c r="A22" s="2">
        <v>12</v>
      </c>
      <c r="B22" s="2">
        <v>13</v>
      </c>
      <c r="C22" s="2">
        <v>2</v>
      </c>
      <c r="D22" s="2">
        <v>1</v>
      </c>
    </row>
    <row r="23" spans="1:5">
      <c r="A23" s="2">
        <v>13</v>
      </c>
      <c r="B23" s="2">
        <v>14</v>
      </c>
      <c r="C23" s="2">
        <v>0</v>
      </c>
      <c r="D23" s="2">
        <v>1</v>
      </c>
    </row>
    <row r="24" spans="1:5">
      <c r="A24" s="2">
        <v>14</v>
      </c>
      <c r="B24" s="2">
        <v>17</v>
      </c>
      <c r="C24" s="2">
        <v>1</v>
      </c>
      <c r="D24" s="2">
        <v>1</v>
      </c>
    </row>
    <row r="25" spans="1:5">
      <c r="A25" s="2">
        <v>15</v>
      </c>
      <c r="B25" s="2">
        <v>17</v>
      </c>
      <c r="C25" s="2">
        <v>7</v>
      </c>
      <c r="D25" s="2">
        <v>0</v>
      </c>
    </row>
    <row r="26" spans="1:5">
      <c r="A26" s="2">
        <v>16</v>
      </c>
      <c r="B26" s="2">
        <v>17</v>
      </c>
      <c r="C26" s="2">
        <v>8</v>
      </c>
      <c r="D26" s="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84F9-1004-4CCF-BAE5-696B64E185CB}">
  <dimension ref="A1:L26"/>
  <sheetViews>
    <sheetView workbookViewId="0">
      <selection activeCell="T25" sqref="T25"/>
    </sheetView>
  </sheetViews>
  <sheetFormatPr defaultRowHeight="15"/>
  <cols>
    <col min="5" max="5" width="17.85546875" customWidth="1"/>
    <col min="6" max="6" width="14.5703125" customWidth="1"/>
  </cols>
  <sheetData>
    <row r="1" spans="1:12">
      <c r="A1" t="s">
        <v>49</v>
      </c>
    </row>
    <row r="2" spans="1:12" ht="25.5" customHeight="1">
      <c r="A2" s="2" t="s">
        <v>22</v>
      </c>
      <c r="B2" s="2" t="s">
        <v>23</v>
      </c>
      <c r="C2" s="2" t="s">
        <v>24</v>
      </c>
      <c r="E2" s="3" t="s">
        <v>50</v>
      </c>
      <c r="F2" s="4" t="s">
        <v>51</v>
      </c>
      <c r="K2" s="7"/>
      <c r="L2" s="7"/>
    </row>
    <row r="3" spans="1:12">
      <c r="A3" s="2">
        <v>1</v>
      </c>
      <c r="B3" s="2">
        <v>2</v>
      </c>
      <c r="C3" s="2">
        <v>4</v>
      </c>
      <c r="E3" s="3" t="s">
        <v>32</v>
      </c>
      <c r="F3" s="3">
        <v>3</v>
      </c>
      <c r="K3" s="7"/>
      <c r="L3" s="7"/>
    </row>
    <row r="4" spans="1:12">
      <c r="A4" s="2">
        <v>1</v>
      </c>
      <c r="B4" s="2">
        <v>3</v>
      </c>
      <c r="C4" s="2">
        <v>2</v>
      </c>
      <c r="E4" s="3" t="s">
        <v>33</v>
      </c>
      <c r="F4" s="3">
        <v>1</v>
      </c>
      <c r="K4" s="7"/>
      <c r="L4" s="7"/>
    </row>
    <row r="5" spans="1:12">
      <c r="A5" s="2">
        <v>1</v>
      </c>
      <c r="B5" s="2">
        <v>12</v>
      </c>
      <c r="C5" s="2">
        <v>5</v>
      </c>
      <c r="E5" s="3" t="s">
        <v>34</v>
      </c>
      <c r="F5" s="3" t="s">
        <v>2</v>
      </c>
      <c r="K5" s="7"/>
      <c r="L5" s="7"/>
    </row>
    <row r="6" spans="1:12">
      <c r="A6" s="2">
        <v>2</v>
      </c>
      <c r="B6" s="2">
        <v>6</v>
      </c>
      <c r="C6" s="2">
        <v>0</v>
      </c>
      <c r="E6" s="3" t="s">
        <v>35</v>
      </c>
      <c r="F6" s="3" t="s">
        <v>2</v>
      </c>
      <c r="K6" s="7"/>
      <c r="L6" s="7"/>
    </row>
    <row r="7" spans="1:12">
      <c r="A7" s="2">
        <v>3</v>
      </c>
      <c r="B7" s="2">
        <v>4</v>
      </c>
      <c r="C7" s="2">
        <v>7</v>
      </c>
      <c r="E7" s="3" t="s">
        <v>36</v>
      </c>
      <c r="F7" s="3" t="s">
        <v>2</v>
      </c>
      <c r="K7" s="7"/>
      <c r="L7" s="7"/>
    </row>
    <row r="8" spans="1:12">
      <c r="A8" s="2">
        <v>3</v>
      </c>
      <c r="B8" s="2">
        <v>6</v>
      </c>
      <c r="C8" s="2">
        <v>0</v>
      </c>
      <c r="E8" s="5" t="s">
        <v>37</v>
      </c>
      <c r="F8" s="3">
        <v>1</v>
      </c>
    </row>
    <row r="9" spans="1:12">
      <c r="A9" s="2">
        <v>4</v>
      </c>
      <c r="B9" s="2">
        <v>5</v>
      </c>
      <c r="C9" s="2">
        <v>8</v>
      </c>
      <c r="E9" s="3" t="s">
        <v>38</v>
      </c>
      <c r="F9" s="3" t="s">
        <v>2</v>
      </c>
    </row>
    <row r="10" spans="1:12">
      <c r="A10" s="2">
        <v>5</v>
      </c>
      <c r="B10" s="2">
        <v>8</v>
      </c>
      <c r="C10" s="2">
        <v>0</v>
      </c>
      <c r="E10" s="3" t="s">
        <v>39</v>
      </c>
      <c r="F10" s="3">
        <v>1</v>
      </c>
    </row>
    <row r="11" spans="1:12">
      <c r="A11" s="2">
        <v>5</v>
      </c>
      <c r="B11" s="2">
        <v>16</v>
      </c>
      <c r="C11" s="2">
        <v>0</v>
      </c>
      <c r="E11" s="3" t="s">
        <v>40</v>
      </c>
      <c r="F11" s="3" t="s">
        <v>2</v>
      </c>
    </row>
    <row r="12" spans="1:12">
      <c r="A12" s="2">
        <v>6</v>
      </c>
      <c r="B12" s="2">
        <v>7</v>
      </c>
      <c r="C12" s="2">
        <v>5</v>
      </c>
      <c r="E12" s="3" t="s">
        <v>41</v>
      </c>
      <c r="F12" s="3" t="s">
        <v>2</v>
      </c>
    </row>
    <row r="13" spans="1:12">
      <c r="A13" s="2">
        <v>6</v>
      </c>
      <c r="B13" s="2">
        <v>10</v>
      </c>
      <c r="C13" s="2">
        <v>4</v>
      </c>
      <c r="E13" s="3" t="s">
        <v>42</v>
      </c>
      <c r="F13" s="3" t="s">
        <v>2</v>
      </c>
    </row>
    <row r="14" spans="1:12">
      <c r="A14" s="2">
        <v>6</v>
      </c>
      <c r="B14" s="2">
        <v>15</v>
      </c>
      <c r="C14" s="2">
        <v>3</v>
      </c>
      <c r="E14" s="10" t="s">
        <v>43</v>
      </c>
      <c r="F14" s="3" t="s">
        <v>2</v>
      </c>
    </row>
    <row r="15" spans="1:12">
      <c r="A15" s="2">
        <v>7</v>
      </c>
      <c r="B15" s="2">
        <v>8</v>
      </c>
      <c r="C15" s="2">
        <v>0</v>
      </c>
      <c r="E15" s="10" t="s">
        <v>44</v>
      </c>
      <c r="F15" s="3" t="s">
        <v>2</v>
      </c>
    </row>
    <row r="16" spans="1:12">
      <c r="A16" s="2">
        <v>7</v>
      </c>
      <c r="B16" s="2">
        <v>16</v>
      </c>
      <c r="C16" s="2">
        <v>0</v>
      </c>
      <c r="E16" s="10" t="s">
        <v>45</v>
      </c>
      <c r="F16" s="3" t="s">
        <v>2</v>
      </c>
    </row>
    <row r="17" spans="1:6">
      <c r="A17" s="2">
        <v>8</v>
      </c>
      <c r="B17" s="2">
        <v>9</v>
      </c>
      <c r="C17" s="2">
        <v>6</v>
      </c>
      <c r="E17" s="8" t="s">
        <v>52</v>
      </c>
      <c r="F17" s="3">
        <f>SUM(F3:F16)</f>
        <v>6</v>
      </c>
    </row>
    <row r="18" spans="1:6">
      <c r="A18" s="2">
        <v>8</v>
      </c>
      <c r="B18" s="2">
        <v>11</v>
      </c>
      <c r="C18" s="2">
        <v>6</v>
      </c>
    </row>
    <row r="19" spans="1:6">
      <c r="A19" s="2">
        <v>9</v>
      </c>
      <c r="B19" s="2">
        <v>14</v>
      </c>
      <c r="C19" s="2">
        <v>0</v>
      </c>
    </row>
    <row r="20" spans="1:6">
      <c r="A20" s="2">
        <v>10</v>
      </c>
      <c r="B20" s="2">
        <v>16</v>
      </c>
      <c r="C20" s="2">
        <v>0</v>
      </c>
    </row>
    <row r="21" spans="1:6">
      <c r="A21" s="2">
        <v>11</v>
      </c>
      <c r="B21" s="2">
        <v>14</v>
      </c>
      <c r="C21" s="2">
        <v>0</v>
      </c>
      <c r="E21" t="s">
        <v>53</v>
      </c>
    </row>
    <row r="22" spans="1:6">
      <c r="A22" s="2">
        <v>12</v>
      </c>
      <c r="B22" s="2">
        <v>13</v>
      </c>
      <c r="C22" s="2">
        <v>2</v>
      </c>
      <c r="E22" s="9" t="s">
        <v>54</v>
      </c>
    </row>
    <row r="23" spans="1:6">
      <c r="A23" s="2">
        <v>13</v>
      </c>
      <c r="B23" s="2">
        <v>14</v>
      </c>
      <c r="C23" s="2">
        <v>0</v>
      </c>
    </row>
    <row r="24" spans="1:6">
      <c r="A24" s="2">
        <v>14</v>
      </c>
      <c r="B24" s="2">
        <v>17</v>
      </c>
      <c r="C24" s="2">
        <v>1</v>
      </c>
    </row>
    <row r="25" spans="1:6">
      <c r="A25" s="2">
        <v>15</v>
      </c>
      <c r="B25" s="2">
        <v>17</v>
      </c>
      <c r="C25" s="2">
        <v>7</v>
      </c>
    </row>
    <row r="26" spans="1:6">
      <c r="A26" s="2">
        <v>16</v>
      </c>
      <c r="B26" s="2">
        <v>17</v>
      </c>
      <c r="C26" s="2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8E39-D630-42A3-8571-408230B2E329}">
  <dimension ref="A1:F26"/>
  <sheetViews>
    <sheetView workbookViewId="0">
      <selection activeCell="F4" sqref="F4"/>
    </sheetView>
  </sheetViews>
  <sheetFormatPr defaultRowHeight="15"/>
  <cols>
    <col min="4" max="4" width="12.7109375" customWidth="1"/>
    <col min="5" max="5" width="13.85546875" customWidth="1"/>
  </cols>
  <sheetData>
    <row r="1" spans="1:6">
      <c r="A1" t="s">
        <v>46</v>
      </c>
    </row>
    <row r="2" spans="1:6" ht="18">
      <c r="A2" s="2" t="s">
        <v>22</v>
      </c>
      <c r="B2" s="2" t="s">
        <v>23</v>
      </c>
      <c r="C2" s="2" t="s">
        <v>47</v>
      </c>
      <c r="D2" s="2" t="s">
        <v>29</v>
      </c>
      <c r="E2" s="2" t="s">
        <v>30</v>
      </c>
      <c r="F2" s="2" t="s">
        <v>48</v>
      </c>
    </row>
    <row r="3" spans="1:6">
      <c r="A3" s="2">
        <v>1</v>
      </c>
      <c r="B3" s="2">
        <v>2</v>
      </c>
      <c r="C3" s="2">
        <v>4</v>
      </c>
      <c r="D3" s="2">
        <v>0</v>
      </c>
      <c r="E3" s="2">
        <f>D3+D4+D5-D24-D25-D26</f>
        <v>0</v>
      </c>
      <c r="F3" s="6">
        <f>SUM(D3:D26)</f>
        <v>0</v>
      </c>
    </row>
    <row r="4" spans="1:6">
      <c r="A4" s="2">
        <v>1</v>
      </c>
      <c r="B4" s="2">
        <v>3</v>
      </c>
      <c r="C4" s="2">
        <v>2</v>
      </c>
      <c r="D4" s="2">
        <v>0</v>
      </c>
      <c r="E4" s="2">
        <f>D3-D6</f>
        <v>0</v>
      </c>
    </row>
    <row r="5" spans="1:6">
      <c r="A5" s="2">
        <v>1</v>
      </c>
      <c r="B5" s="2">
        <v>12</v>
      </c>
      <c r="C5" s="2">
        <v>5</v>
      </c>
      <c r="D5" s="2">
        <v>0</v>
      </c>
      <c r="E5" s="2">
        <f>D4-D7-D8</f>
        <v>0</v>
      </c>
    </row>
    <row r="6" spans="1:6">
      <c r="A6" s="2">
        <v>2</v>
      </c>
      <c r="B6" s="2">
        <v>6</v>
      </c>
      <c r="C6" s="2">
        <v>0</v>
      </c>
      <c r="D6" s="2">
        <v>0</v>
      </c>
      <c r="E6" s="2">
        <f>D7-D9</f>
        <v>0</v>
      </c>
    </row>
    <row r="7" spans="1:6">
      <c r="A7" s="2">
        <v>3</v>
      </c>
      <c r="B7" s="2">
        <v>4</v>
      </c>
      <c r="C7" s="2">
        <v>7</v>
      </c>
      <c r="D7" s="2">
        <v>0</v>
      </c>
      <c r="E7" s="2">
        <f>D9-D10-D11</f>
        <v>0</v>
      </c>
    </row>
    <row r="8" spans="1:6">
      <c r="A8" s="2">
        <v>3</v>
      </c>
      <c r="B8" s="2">
        <v>6</v>
      </c>
      <c r="C8" s="2">
        <v>0</v>
      </c>
      <c r="D8" s="2">
        <v>0</v>
      </c>
      <c r="E8" s="2">
        <f>D6+D8-D12-D13-D14</f>
        <v>0</v>
      </c>
    </row>
    <row r="9" spans="1:6">
      <c r="A9" s="2">
        <v>4</v>
      </c>
      <c r="B9" s="2">
        <v>5</v>
      </c>
      <c r="C9" s="2">
        <v>8</v>
      </c>
      <c r="D9" s="2">
        <v>0</v>
      </c>
      <c r="E9" s="2">
        <f>D12-D15-D16</f>
        <v>0</v>
      </c>
    </row>
    <row r="10" spans="1:6">
      <c r="A10" s="2">
        <v>5</v>
      </c>
      <c r="B10" s="2">
        <v>8</v>
      </c>
      <c r="C10" s="2">
        <v>0</v>
      </c>
      <c r="D10" s="2">
        <v>0</v>
      </c>
      <c r="E10" s="2">
        <f>D10+D15-D17-D18</f>
        <v>0</v>
      </c>
    </row>
    <row r="11" spans="1:6">
      <c r="A11" s="2">
        <v>5</v>
      </c>
      <c r="B11" s="2">
        <v>16</v>
      </c>
      <c r="C11" s="2">
        <v>0</v>
      </c>
      <c r="D11" s="2">
        <v>0</v>
      </c>
      <c r="E11" s="2">
        <f>D17-D19</f>
        <v>0</v>
      </c>
    </row>
    <row r="12" spans="1:6">
      <c r="A12" s="2">
        <v>6</v>
      </c>
      <c r="B12" s="2">
        <v>7</v>
      </c>
      <c r="C12" s="2">
        <v>5</v>
      </c>
      <c r="D12" s="2">
        <v>0</v>
      </c>
      <c r="E12" s="2">
        <f>D13-D20</f>
        <v>0</v>
      </c>
    </row>
    <row r="13" spans="1:6">
      <c r="A13" s="2">
        <v>6</v>
      </c>
      <c r="B13" s="2">
        <v>10</v>
      </c>
      <c r="C13" s="2">
        <v>4</v>
      </c>
      <c r="D13" s="2">
        <v>0</v>
      </c>
      <c r="E13" s="2">
        <f>D18-D21</f>
        <v>0</v>
      </c>
    </row>
    <row r="14" spans="1:6">
      <c r="A14" s="2">
        <v>6</v>
      </c>
      <c r="B14" s="2">
        <v>15</v>
      </c>
      <c r="C14" s="2">
        <v>3</v>
      </c>
      <c r="D14" s="2">
        <v>0</v>
      </c>
      <c r="E14" s="2">
        <f>D5-D22</f>
        <v>0</v>
      </c>
    </row>
    <row r="15" spans="1:6">
      <c r="A15" s="2">
        <v>7</v>
      </c>
      <c r="B15" s="2">
        <v>8</v>
      </c>
      <c r="C15" s="2">
        <v>0</v>
      </c>
      <c r="D15" s="2">
        <v>0</v>
      </c>
      <c r="E15" s="2">
        <f>D22-D23</f>
        <v>0</v>
      </c>
    </row>
    <row r="16" spans="1:6">
      <c r="A16" s="2">
        <v>7</v>
      </c>
      <c r="B16" s="2">
        <v>16</v>
      </c>
      <c r="C16" s="2">
        <v>0</v>
      </c>
      <c r="D16" s="2">
        <v>0</v>
      </c>
      <c r="E16" s="2">
        <f>D19+D21+D23-D24</f>
        <v>0</v>
      </c>
    </row>
    <row r="17" spans="1:5">
      <c r="A17" s="2">
        <v>8</v>
      </c>
      <c r="B17" s="2">
        <v>9</v>
      </c>
      <c r="C17" s="2">
        <v>6</v>
      </c>
      <c r="D17" s="2">
        <v>0</v>
      </c>
      <c r="E17" s="2">
        <f>D14-D25</f>
        <v>0</v>
      </c>
    </row>
    <row r="18" spans="1:5">
      <c r="A18" s="2">
        <v>8</v>
      </c>
      <c r="B18" s="2">
        <v>11</v>
      </c>
      <c r="C18" s="2">
        <v>6</v>
      </c>
      <c r="D18" s="2">
        <v>0</v>
      </c>
      <c r="E18" s="2">
        <f>D11+D16+D20-D26</f>
        <v>0</v>
      </c>
    </row>
    <row r="19" spans="1:5">
      <c r="A19" s="2">
        <v>9</v>
      </c>
      <c r="B19" s="2">
        <v>14</v>
      </c>
      <c r="C19" s="2">
        <v>0</v>
      </c>
      <c r="D19" s="2">
        <v>0</v>
      </c>
      <c r="E19" s="2"/>
    </row>
    <row r="20" spans="1:5">
      <c r="A20" s="2">
        <v>10</v>
      </c>
      <c r="B20" s="2">
        <v>16</v>
      </c>
      <c r="C20" s="2">
        <v>0</v>
      </c>
      <c r="D20" s="2">
        <v>0</v>
      </c>
    </row>
    <row r="21" spans="1:5">
      <c r="A21" s="2">
        <v>11</v>
      </c>
      <c r="B21" s="2">
        <v>14</v>
      </c>
      <c r="C21" s="2">
        <v>0</v>
      </c>
      <c r="D21" s="2">
        <v>0</v>
      </c>
    </row>
    <row r="22" spans="1:5">
      <c r="A22" s="2">
        <v>12</v>
      </c>
      <c r="B22" s="2">
        <v>13</v>
      </c>
      <c r="C22" s="2">
        <v>2</v>
      </c>
      <c r="D22" s="2">
        <v>0</v>
      </c>
    </row>
    <row r="23" spans="1:5">
      <c r="A23" s="2">
        <v>13</v>
      </c>
      <c r="B23" s="2">
        <v>14</v>
      </c>
      <c r="C23" s="2">
        <v>0</v>
      </c>
      <c r="D23" s="2">
        <v>0</v>
      </c>
    </row>
    <row r="24" spans="1:5">
      <c r="A24" s="2">
        <v>14</v>
      </c>
      <c r="B24" s="2">
        <v>17</v>
      </c>
      <c r="C24" s="2">
        <v>1</v>
      </c>
      <c r="D24" s="2">
        <v>0</v>
      </c>
    </row>
    <row r="25" spans="1:5">
      <c r="A25" s="2">
        <v>15</v>
      </c>
      <c r="B25" s="2">
        <v>17</v>
      </c>
      <c r="C25" s="2">
        <v>7</v>
      </c>
      <c r="D25" s="2">
        <v>0</v>
      </c>
    </row>
    <row r="26" spans="1:5">
      <c r="A26" s="2">
        <v>16</v>
      </c>
      <c r="B26" s="2">
        <v>17</v>
      </c>
      <c r="C26" s="2">
        <v>8</v>
      </c>
      <c r="D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Сет. граф. крат. путь</vt:lpstr>
      <vt:lpstr>Крат. путь поиск решения</vt:lpstr>
      <vt:lpstr>метод фф</vt:lpstr>
      <vt:lpstr>поиск решения макс поток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53</cp:lastModifiedBy>
  <dcterms:created xsi:type="dcterms:W3CDTF">2015-06-05T18:19:34Z</dcterms:created>
  <dcterms:modified xsi:type="dcterms:W3CDTF">2026-02-21T09:21:10Z</dcterms:modified>
</cp:coreProperties>
</file>