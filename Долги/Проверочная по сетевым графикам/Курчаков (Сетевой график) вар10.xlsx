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F:\Математическое моделирование\Новая папка\Новая папка\"/>
    </mc:Choice>
  </mc:AlternateContent>
  <xr:revisionPtr revIDLastSave="0" documentId="13_ncr:1_{7AC2B384-AD86-46A9-AE4D-EEE9A5F00EE7}" xr6:coauthVersionLast="45" xr6:coauthVersionMax="45" xr10:uidLastSave="{00000000-0000-0000-0000-000000000000}"/>
  <bookViews>
    <workbookView xWindow="-60" yWindow="-60" windowWidth="20610" windowHeight="10980" xr2:uid="{00000000-000D-0000-FFFF-FFFF00000000}"/>
  </bookViews>
  <sheets>
    <sheet name="Сетевой график" sheetId="1" r:id="rId1"/>
    <sheet name="Кратчайший путь" sheetId="2" r:id="rId2"/>
    <sheet name="КП поиск решений" sheetId="3" r:id="rId3"/>
    <sheet name="МП поиском решения" sheetId="4" r:id="rId4"/>
  </sheets>
  <definedNames>
    <definedName name="solver_adj" localSheetId="2" hidden="1">'КП поиск решений'!$D$3:$D$25</definedName>
    <definedName name="solver_adj" localSheetId="3" hidden="1">'МП поиском решения'!$D$3:$D$25</definedName>
    <definedName name="solver_cvg" localSheetId="2" hidden="1">0.0001</definedName>
    <definedName name="solver_cvg" localSheetId="3" hidden="1">0.0001</definedName>
    <definedName name="solver_drv" localSheetId="2" hidden="1">1</definedName>
    <definedName name="solver_drv" localSheetId="3" hidden="1">1</definedName>
    <definedName name="solver_eng" localSheetId="2" hidden="1">1</definedName>
    <definedName name="solver_eng" localSheetId="3" hidden="1">1</definedName>
    <definedName name="solver_est" localSheetId="2" hidden="1">1</definedName>
    <definedName name="solver_est" localSheetId="3" hidden="1">1</definedName>
    <definedName name="solver_itr" localSheetId="2" hidden="1">2147483647</definedName>
    <definedName name="solver_itr" localSheetId="3" hidden="1">2147483647</definedName>
    <definedName name="solver_lhs1" localSheetId="2" hidden="1">'КП поиск решений'!$D$3:$D$25</definedName>
    <definedName name="solver_lhs1" localSheetId="3" hidden="1">'МП поиском решения'!$D$3:$D$25</definedName>
    <definedName name="solver_lhs2" localSheetId="2" hidden="1">'КП поиск решений'!$D$3:$D$25</definedName>
    <definedName name="solver_lhs2" localSheetId="3" hidden="1">'МП поиском решения'!$D$3:$D$25</definedName>
    <definedName name="solver_lhs3" localSheetId="2" hidden="1">'КП поиск решений'!$E$15</definedName>
    <definedName name="solver_lhs3" localSheetId="3" hidden="1">'МП поиском решения'!$E$3:$E$14</definedName>
    <definedName name="solver_lhs4" localSheetId="2" hidden="1">'КП поиск решений'!$E$3</definedName>
    <definedName name="solver_lhs5" localSheetId="2" hidden="1">'КП поиск решений'!$E$4:$E$14</definedName>
    <definedName name="solver_mip" localSheetId="2" hidden="1">2147483647</definedName>
    <definedName name="solver_mip" localSheetId="3" hidden="1">2147483647</definedName>
    <definedName name="solver_mni" localSheetId="2" hidden="1">30</definedName>
    <definedName name="solver_mni" localSheetId="3" hidden="1">30</definedName>
    <definedName name="solver_mrt" localSheetId="2" hidden="1">0.075</definedName>
    <definedName name="solver_mrt" localSheetId="3" hidden="1">0.075</definedName>
    <definedName name="solver_msl" localSheetId="2" hidden="1">2</definedName>
    <definedName name="solver_msl" localSheetId="3" hidden="1">2</definedName>
    <definedName name="solver_neg" localSheetId="2" hidden="1">1</definedName>
    <definedName name="solver_neg" localSheetId="3" hidden="1">1</definedName>
    <definedName name="solver_nod" localSheetId="2" hidden="1">2147483647</definedName>
    <definedName name="solver_nod" localSheetId="3" hidden="1">2147483647</definedName>
    <definedName name="solver_num" localSheetId="2" hidden="1">5</definedName>
    <definedName name="solver_num" localSheetId="3" hidden="1">3</definedName>
    <definedName name="solver_nwt" localSheetId="2" hidden="1">1</definedName>
    <definedName name="solver_nwt" localSheetId="3" hidden="1">1</definedName>
    <definedName name="solver_opt" localSheetId="2" hidden="1">'КП поиск решений'!$F$3</definedName>
    <definedName name="solver_opt" localSheetId="3" hidden="1">'МП поиском решения'!$F$3</definedName>
    <definedName name="solver_pre" localSheetId="2" hidden="1">0.000001</definedName>
    <definedName name="solver_pre" localSheetId="3" hidden="1">0.000001</definedName>
    <definedName name="solver_rbv" localSheetId="2" hidden="1">1</definedName>
    <definedName name="solver_rbv" localSheetId="3" hidden="1">1</definedName>
    <definedName name="solver_rel1" localSheetId="2" hidden="1">5</definedName>
    <definedName name="solver_rel1" localSheetId="3" hidden="1">1</definedName>
    <definedName name="solver_rel2" localSheetId="2" hidden="1">4</definedName>
    <definedName name="solver_rel2" localSheetId="3" hidden="1">4</definedName>
    <definedName name="solver_rel3" localSheetId="2" hidden="1">2</definedName>
    <definedName name="solver_rel3" localSheetId="3" hidden="1">2</definedName>
    <definedName name="solver_rel4" localSheetId="2" hidden="1">2</definedName>
    <definedName name="solver_rel5" localSheetId="2" hidden="1">2</definedName>
    <definedName name="solver_rhs1" localSheetId="2" hidden="1">"бинарное"</definedName>
    <definedName name="solver_rhs1" localSheetId="3" hidden="1">'МП поиском решения'!$C$3:$C$25</definedName>
    <definedName name="solver_rhs2" localSheetId="2" hidden="1">"целое"</definedName>
    <definedName name="solver_rhs2" localSheetId="3" hidden="1">"целое"</definedName>
    <definedName name="solver_rhs3" localSheetId="2" hidden="1">1</definedName>
    <definedName name="solver_rhs3" localSheetId="3" hidden="1">0</definedName>
    <definedName name="solver_rhs4" localSheetId="2" hidden="1">1</definedName>
    <definedName name="solver_rhs5" localSheetId="2" hidden="1">0</definedName>
    <definedName name="solver_rlx" localSheetId="2" hidden="1">2</definedName>
    <definedName name="solver_rlx" localSheetId="3" hidden="1">2</definedName>
    <definedName name="solver_rsd" localSheetId="2" hidden="1">0</definedName>
    <definedName name="solver_rsd" localSheetId="3" hidden="1">0</definedName>
    <definedName name="solver_scl" localSheetId="2" hidden="1">1</definedName>
    <definedName name="solver_scl" localSheetId="3" hidden="1">1</definedName>
    <definedName name="solver_sho" localSheetId="2" hidden="1">2</definedName>
    <definedName name="solver_sho" localSheetId="3" hidden="1">2</definedName>
    <definedName name="solver_ssz" localSheetId="2" hidden="1">100</definedName>
    <definedName name="solver_ssz" localSheetId="3" hidden="1">100</definedName>
    <definedName name="solver_tim" localSheetId="2" hidden="1">2147483647</definedName>
    <definedName name="solver_tim" localSheetId="3" hidden="1">2147483647</definedName>
    <definedName name="solver_tol" localSheetId="2" hidden="1">0.01</definedName>
    <definedName name="solver_tol" localSheetId="3" hidden="1">0.01</definedName>
    <definedName name="solver_typ" localSheetId="2" hidden="1">2</definedName>
    <definedName name="solver_typ" localSheetId="3" hidden="1">1</definedName>
    <definedName name="solver_val" localSheetId="2" hidden="1">0</definedName>
    <definedName name="solver_val" localSheetId="3" hidden="1">0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4" l="1"/>
  <c r="E3" i="4"/>
  <c r="E14" i="4"/>
  <c r="E13" i="4"/>
  <c r="E12" i="4"/>
  <c r="E11" i="4"/>
  <c r="E10" i="4"/>
  <c r="E9" i="4"/>
  <c r="E8" i="4"/>
  <c r="E7" i="4"/>
  <c r="E6" i="4"/>
  <c r="E5" i="4"/>
  <c r="E4" i="4"/>
  <c r="AB11" i="2"/>
  <c r="AA13" i="2"/>
  <c r="AB12" i="2"/>
  <c r="F3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AB10" i="2"/>
  <c r="AB9" i="2"/>
  <c r="AB8" i="2"/>
  <c r="AB7" i="2"/>
  <c r="AB6" i="2"/>
  <c r="AB5" i="2"/>
  <c r="AB4" i="2"/>
  <c r="AB3" i="2"/>
  <c r="AB2" i="2"/>
</calcChain>
</file>

<file path=xl/sharedStrings.xml><?xml version="1.0" encoding="utf-8"?>
<sst xmlns="http://schemas.openxmlformats.org/spreadsheetml/2006/main" count="32" uniqueCount="23">
  <si>
    <t>Нахождение кратчайшего пути</t>
  </si>
  <si>
    <t>Маршрут</t>
  </si>
  <si>
    <t>Кратчайшее расстояние</t>
  </si>
  <si>
    <t>Pi</t>
  </si>
  <si>
    <t>Pj</t>
  </si>
  <si>
    <t>Lij</t>
  </si>
  <si>
    <t>min</t>
  </si>
  <si>
    <t>1-2-6-9-11-13</t>
  </si>
  <si>
    <t>1-2-6-13</t>
  </si>
  <si>
    <t>1-2-6-10-12-13</t>
  </si>
  <si>
    <t>1-3-4-5-6-9-11-13</t>
  </si>
  <si>
    <t>1-3-4-5-6-9-12-13</t>
  </si>
  <si>
    <t>1-2-6-9-12-13</t>
  </si>
  <si>
    <t>1-3-4-5-6-10-12-13</t>
  </si>
  <si>
    <t>1-3-5-6-9-11-13</t>
  </si>
  <si>
    <t>1-3-5-6-9-12-13</t>
  </si>
  <si>
    <t>1-3-5-6-10-12-13</t>
  </si>
  <si>
    <t>1-3-12-13</t>
  </si>
  <si>
    <t>Переменные</t>
  </si>
  <si>
    <t>Ограничения</t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</si>
  <si>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min</t>
    </r>
  </si>
  <si>
    <t>Fmax</t>
  </si>
  <si>
    <t>Fij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</si>
</sst>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1" fillId="0" borderId="4" xfId="0" applyFont="1" applyBorder="1"/>
    <xf numFmtId="0" fontId="0" fillId="2" borderId="4" xfId="0" applyFill="1" applyBorder="1"/>
    <xf numFmtId="0" fontId="1" fillId="0" borderId="4" xfId="0" applyFont="1" applyFill="1" applyBorder="1"/>
    <xf numFmtId="14" fontId="0" fillId="0" borderId="4" xfId="0" applyNumberFormat="1" applyFill="1" applyBorder="1"/>
    <xf numFmtId="0" fontId="0" fillId="0" borderId="4" xfId="0" applyFill="1" applyBorder="1"/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10</xdr:row>
      <xdr:rowOff>100806</xdr:rowOff>
    </xdr:from>
    <xdr:to>
      <xdr:col>1</xdr:col>
      <xdr:colOff>437861</xdr:colOff>
      <xdr:row>14</xdr:row>
      <xdr:rowOff>32399</xdr:rowOff>
    </xdr:to>
    <xdr:sp macro="" textlink="">
      <xdr:nvSpPr>
        <xdr:cNvPr id="265" name="Овал 264">
          <a:extLst>
            <a:ext uri="{FF2B5EF4-FFF2-40B4-BE49-F238E27FC236}">
              <a16:creationId xmlns:a16="http://schemas.microsoft.com/office/drawing/2014/main" id="{BF3C4BD3-2D3B-4DF6-A7FD-29A36A54A9D9}"/>
            </a:ext>
          </a:extLst>
        </xdr:cNvPr>
        <xdr:cNvSpPr/>
      </xdr:nvSpPr>
      <xdr:spPr>
        <a:xfrm>
          <a:off x="381000" y="2005806"/>
          <a:ext cx="66646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1</a:t>
          </a:r>
        </a:p>
      </xdr:txBody>
    </xdr:sp>
    <xdr:clientData/>
  </xdr:twoCellAnchor>
  <xdr:twoCellAnchor>
    <xdr:from>
      <xdr:col>3</xdr:col>
      <xdr:colOff>423863</xdr:colOff>
      <xdr:row>1</xdr:row>
      <xdr:rowOff>133350</xdr:rowOff>
    </xdr:from>
    <xdr:to>
      <xdr:col>4</xdr:col>
      <xdr:colOff>480724</xdr:colOff>
      <xdr:row>5</xdr:row>
      <xdr:rowOff>64943</xdr:rowOff>
    </xdr:to>
    <xdr:sp macro="" textlink="">
      <xdr:nvSpPr>
        <xdr:cNvPr id="266" name="Овал 265">
          <a:extLst>
            <a:ext uri="{FF2B5EF4-FFF2-40B4-BE49-F238E27FC236}">
              <a16:creationId xmlns:a16="http://schemas.microsoft.com/office/drawing/2014/main" id="{9A9B0A22-BB6A-4DDB-975B-3869F0E73885}"/>
            </a:ext>
          </a:extLst>
        </xdr:cNvPr>
        <xdr:cNvSpPr/>
      </xdr:nvSpPr>
      <xdr:spPr>
        <a:xfrm>
          <a:off x="2252663" y="323850"/>
          <a:ext cx="66646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2</a:t>
          </a:r>
        </a:p>
      </xdr:txBody>
    </xdr:sp>
    <xdr:clientData/>
  </xdr:twoCellAnchor>
  <xdr:twoCellAnchor>
    <xdr:from>
      <xdr:col>3</xdr:col>
      <xdr:colOff>47625</xdr:colOff>
      <xdr:row>24</xdr:row>
      <xdr:rowOff>157956</xdr:rowOff>
    </xdr:from>
    <xdr:to>
      <xdr:col>4</xdr:col>
      <xdr:colOff>88611</xdr:colOff>
      <xdr:row>28</xdr:row>
      <xdr:rowOff>89549</xdr:rowOff>
    </xdr:to>
    <xdr:sp macro="" textlink="">
      <xdr:nvSpPr>
        <xdr:cNvPr id="267" name="Овал 266">
          <a:extLst>
            <a:ext uri="{FF2B5EF4-FFF2-40B4-BE49-F238E27FC236}">
              <a16:creationId xmlns:a16="http://schemas.microsoft.com/office/drawing/2014/main" id="{BD93B4B3-B51A-448E-97AA-B6751851DDF4}"/>
            </a:ext>
          </a:extLst>
        </xdr:cNvPr>
        <xdr:cNvSpPr/>
      </xdr:nvSpPr>
      <xdr:spPr>
        <a:xfrm>
          <a:off x="1876425" y="4729956"/>
          <a:ext cx="650586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3</a:t>
          </a:r>
        </a:p>
      </xdr:txBody>
    </xdr:sp>
    <xdr:clientData/>
  </xdr:twoCellAnchor>
  <xdr:twoCellAnchor>
    <xdr:from>
      <xdr:col>5</xdr:col>
      <xdr:colOff>138112</xdr:colOff>
      <xdr:row>11</xdr:row>
      <xdr:rowOff>76993</xdr:rowOff>
    </xdr:from>
    <xdr:to>
      <xdr:col>6</xdr:col>
      <xdr:colOff>210848</xdr:colOff>
      <xdr:row>15</xdr:row>
      <xdr:rowOff>8586</xdr:rowOff>
    </xdr:to>
    <xdr:sp macro="" textlink="">
      <xdr:nvSpPr>
        <xdr:cNvPr id="268" name="Овал 267">
          <a:extLst>
            <a:ext uri="{FF2B5EF4-FFF2-40B4-BE49-F238E27FC236}">
              <a16:creationId xmlns:a16="http://schemas.microsoft.com/office/drawing/2014/main" id="{B250D052-6D38-4497-9683-081F82744C35}"/>
            </a:ext>
          </a:extLst>
        </xdr:cNvPr>
        <xdr:cNvSpPr/>
      </xdr:nvSpPr>
      <xdr:spPr>
        <a:xfrm>
          <a:off x="3186112" y="2172493"/>
          <a:ext cx="682336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4</a:t>
          </a:r>
        </a:p>
      </xdr:txBody>
    </xdr:sp>
    <xdr:clientData/>
  </xdr:twoCellAnchor>
  <xdr:twoCellAnchor>
    <xdr:from>
      <xdr:col>6</xdr:col>
      <xdr:colOff>71438</xdr:colOff>
      <xdr:row>18</xdr:row>
      <xdr:rowOff>135731</xdr:rowOff>
    </xdr:from>
    <xdr:to>
      <xdr:col>7</xdr:col>
      <xdr:colOff>128299</xdr:colOff>
      <xdr:row>22</xdr:row>
      <xdr:rowOff>67324</xdr:rowOff>
    </xdr:to>
    <xdr:sp macro="" textlink="">
      <xdr:nvSpPr>
        <xdr:cNvPr id="269" name="Овал 268">
          <a:extLst>
            <a:ext uri="{FF2B5EF4-FFF2-40B4-BE49-F238E27FC236}">
              <a16:creationId xmlns:a16="http://schemas.microsoft.com/office/drawing/2014/main" id="{0CD46E39-1D73-49C0-9D45-E44CEB5E897F}"/>
            </a:ext>
          </a:extLst>
        </xdr:cNvPr>
        <xdr:cNvSpPr/>
      </xdr:nvSpPr>
      <xdr:spPr>
        <a:xfrm>
          <a:off x="3729038" y="3564731"/>
          <a:ext cx="66646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5</a:t>
          </a:r>
        </a:p>
      </xdr:txBody>
    </xdr:sp>
    <xdr:clientData/>
  </xdr:twoCellAnchor>
  <xdr:twoCellAnchor>
    <xdr:from>
      <xdr:col>1</xdr:col>
      <xdr:colOff>437861</xdr:colOff>
      <xdr:row>4</xdr:row>
      <xdr:rowOff>153869</xdr:rowOff>
    </xdr:from>
    <xdr:to>
      <xdr:col>3</xdr:col>
      <xdr:colOff>522394</xdr:colOff>
      <xdr:row>12</xdr:row>
      <xdr:rowOff>66603</xdr:rowOff>
    </xdr:to>
    <xdr:cxnSp macro="">
      <xdr:nvCxnSpPr>
        <xdr:cNvPr id="270" name="Прямая со стрелкой 269">
          <a:extLst>
            <a:ext uri="{FF2B5EF4-FFF2-40B4-BE49-F238E27FC236}">
              <a16:creationId xmlns:a16="http://schemas.microsoft.com/office/drawing/2014/main" id="{543976C0-AAA1-4667-AB5D-BD1C3DE8AE08}"/>
            </a:ext>
          </a:extLst>
        </xdr:cNvPr>
        <xdr:cNvCxnSpPr>
          <a:stCxn id="265" idx="6"/>
          <a:endCxn id="266" idx="3"/>
        </xdr:cNvCxnSpPr>
      </xdr:nvCxnSpPr>
      <xdr:spPr>
        <a:xfrm flipV="1">
          <a:off x="1047461" y="915869"/>
          <a:ext cx="1303733" cy="14367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437861</xdr:colOff>
      <xdr:row>12</xdr:row>
      <xdr:rowOff>66603</xdr:rowOff>
    </xdr:from>
    <xdr:to>
      <xdr:col>3</xdr:col>
      <xdr:colOff>47625</xdr:colOff>
      <xdr:row>26</xdr:row>
      <xdr:rowOff>123753</xdr:rowOff>
    </xdr:to>
    <xdr:cxnSp macro="">
      <xdr:nvCxnSpPr>
        <xdr:cNvPr id="271" name="Прямая со стрелкой 270">
          <a:extLst>
            <a:ext uri="{FF2B5EF4-FFF2-40B4-BE49-F238E27FC236}">
              <a16:creationId xmlns:a16="http://schemas.microsoft.com/office/drawing/2014/main" id="{86431685-CC9D-42D1-845A-E5F0986FF702}"/>
            </a:ext>
          </a:extLst>
        </xdr:cNvPr>
        <xdr:cNvCxnSpPr>
          <a:stCxn id="265" idx="6"/>
          <a:endCxn id="267" idx="2"/>
        </xdr:cNvCxnSpPr>
      </xdr:nvCxnSpPr>
      <xdr:spPr>
        <a:xfrm>
          <a:off x="1047461" y="2352603"/>
          <a:ext cx="828964" cy="27241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</xdr:colOff>
      <xdr:row>6</xdr:row>
      <xdr:rowOff>135731</xdr:rowOff>
    </xdr:from>
    <xdr:to>
      <xdr:col>2</xdr:col>
      <xdr:colOff>523297</xdr:colOff>
      <xdr:row>8</xdr:row>
      <xdr:rowOff>20133</xdr:rowOff>
    </xdr:to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F287DE53-CFA9-4F8C-98D7-9EEDE5F37E25}"/>
            </a:ext>
          </a:extLst>
        </xdr:cNvPr>
        <xdr:cNvSpPr txBox="1"/>
      </xdr:nvSpPr>
      <xdr:spPr>
        <a:xfrm>
          <a:off x="1231900" y="1278731"/>
          <a:ext cx="510597" cy="265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А 1</a:t>
          </a:r>
          <a:endParaRPr lang="ru-RU" sz="1100"/>
        </a:p>
      </xdr:txBody>
    </xdr:sp>
    <xdr:clientData/>
  </xdr:twoCellAnchor>
  <xdr:twoCellAnchor>
    <xdr:from>
      <xdr:col>2</xdr:col>
      <xdr:colOff>94961</xdr:colOff>
      <xdr:row>14</xdr:row>
      <xdr:rowOff>190428</xdr:rowOff>
    </xdr:from>
    <xdr:to>
      <xdr:col>3</xdr:col>
      <xdr:colOff>6350</xdr:colOff>
      <xdr:row>16</xdr:row>
      <xdr:rowOff>116681</xdr:rowOff>
    </xdr:to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2BDF608E-5738-4DA4-8E38-1182FE922554}"/>
            </a:ext>
          </a:extLst>
        </xdr:cNvPr>
        <xdr:cNvSpPr txBox="1"/>
      </xdr:nvSpPr>
      <xdr:spPr>
        <a:xfrm>
          <a:off x="1314161" y="2857428"/>
          <a:ext cx="520989" cy="3072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Б 4</a:t>
          </a:r>
          <a:endParaRPr lang="ru-RU" sz="1100"/>
        </a:p>
      </xdr:txBody>
    </xdr:sp>
    <xdr:clientData/>
  </xdr:twoCellAnchor>
  <xdr:twoCellAnchor>
    <xdr:from>
      <xdr:col>4</xdr:col>
      <xdr:colOff>38100</xdr:colOff>
      <xdr:row>17</xdr:row>
      <xdr:rowOff>36440</xdr:rowOff>
    </xdr:from>
    <xdr:to>
      <xdr:col>4</xdr:col>
      <xdr:colOff>601661</xdr:colOff>
      <xdr:row>19</xdr:row>
      <xdr:rowOff>59531</xdr:rowOff>
    </xdr:to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1567E9C1-1204-4EAD-8F98-9640FC713436}"/>
            </a:ext>
          </a:extLst>
        </xdr:cNvPr>
        <xdr:cNvSpPr txBox="1"/>
      </xdr:nvSpPr>
      <xdr:spPr>
        <a:xfrm>
          <a:off x="2476500" y="3274940"/>
          <a:ext cx="563561" cy="4040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В 5</a:t>
          </a:r>
          <a:endParaRPr lang="ru-RU" sz="1100"/>
        </a:p>
      </xdr:txBody>
    </xdr:sp>
    <xdr:clientData/>
  </xdr:twoCellAnchor>
  <xdr:twoCellAnchor>
    <xdr:from>
      <xdr:col>4</xdr:col>
      <xdr:colOff>546101</xdr:colOff>
      <xdr:row>20</xdr:row>
      <xdr:rowOff>80097</xdr:rowOff>
    </xdr:from>
    <xdr:to>
      <xdr:col>5</xdr:col>
      <xdr:colOff>470911</xdr:colOff>
      <xdr:row>22</xdr:row>
      <xdr:rowOff>21431</xdr:rowOff>
    </xdr:to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7B593FFD-A53C-4AE1-B1A0-CEA433909722}"/>
            </a:ext>
          </a:extLst>
        </xdr:cNvPr>
        <xdr:cNvSpPr txBox="1"/>
      </xdr:nvSpPr>
      <xdr:spPr>
        <a:xfrm>
          <a:off x="2984501" y="3890097"/>
          <a:ext cx="534410" cy="322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Г 3</a:t>
          </a:r>
          <a:endParaRPr lang="ru-RU" sz="1100"/>
        </a:p>
      </xdr:txBody>
    </xdr:sp>
    <xdr:clientData/>
  </xdr:twoCellAnchor>
  <xdr:twoCellAnchor>
    <xdr:from>
      <xdr:col>4</xdr:col>
      <xdr:colOff>88611</xdr:colOff>
      <xdr:row>14</xdr:row>
      <xdr:rowOff>97512</xdr:rowOff>
    </xdr:from>
    <xdr:to>
      <xdr:col>5</xdr:col>
      <xdr:colOff>238968</xdr:colOff>
      <xdr:row>26</xdr:row>
      <xdr:rowOff>123753</xdr:rowOff>
    </xdr:to>
    <xdr:cxnSp macro="">
      <xdr:nvCxnSpPr>
        <xdr:cNvPr id="276" name="Прямая со стрелкой 275">
          <a:extLst>
            <a:ext uri="{FF2B5EF4-FFF2-40B4-BE49-F238E27FC236}">
              <a16:creationId xmlns:a16="http://schemas.microsoft.com/office/drawing/2014/main" id="{088EC868-E0F4-426F-86A0-F4C6F36E2881}"/>
            </a:ext>
          </a:extLst>
        </xdr:cNvPr>
        <xdr:cNvCxnSpPr>
          <a:stCxn id="267" idx="6"/>
          <a:endCxn id="268" idx="3"/>
        </xdr:cNvCxnSpPr>
      </xdr:nvCxnSpPr>
      <xdr:spPr>
        <a:xfrm flipV="1">
          <a:off x="2527011" y="2764512"/>
          <a:ext cx="759957" cy="23122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454024</xdr:colOff>
      <xdr:row>27</xdr:row>
      <xdr:rowOff>46832</xdr:rowOff>
    </xdr:from>
    <xdr:to>
      <xdr:col>9</xdr:col>
      <xdr:colOff>510885</xdr:colOff>
      <xdr:row>30</xdr:row>
      <xdr:rowOff>168925</xdr:rowOff>
    </xdr:to>
    <xdr:sp macro="" textlink="">
      <xdr:nvSpPr>
        <xdr:cNvPr id="277" name="Овал 276">
          <a:extLst>
            <a:ext uri="{FF2B5EF4-FFF2-40B4-BE49-F238E27FC236}">
              <a16:creationId xmlns:a16="http://schemas.microsoft.com/office/drawing/2014/main" id="{35F4AE5E-FD25-4FFC-BA28-6BBE675CD08C}"/>
            </a:ext>
          </a:extLst>
        </xdr:cNvPr>
        <xdr:cNvSpPr/>
      </xdr:nvSpPr>
      <xdr:spPr>
        <a:xfrm>
          <a:off x="5330824" y="5190332"/>
          <a:ext cx="66646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7</a:t>
          </a:r>
        </a:p>
      </xdr:txBody>
    </xdr:sp>
    <xdr:clientData/>
  </xdr:twoCellAnchor>
  <xdr:twoCellAnchor>
    <xdr:from>
      <xdr:col>8</xdr:col>
      <xdr:colOff>482599</xdr:colOff>
      <xdr:row>17</xdr:row>
      <xdr:rowOff>95250</xdr:rowOff>
    </xdr:from>
    <xdr:to>
      <xdr:col>9</xdr:col>
      <xdr:colOff>539460</xdr:colOff>
      <xdr:row>21</xdr:row>
      <xdr:rowOff>26843</xdr:rowOff>
    </xdr:to>
    <xdr:sp macro="" textlink="">
      <xdr:nvSpPr>
        <xdr:cNvPr id="278" name="Овал 277">
          <a:extLst>
            <a:ext uri="{FF2B5EF4-FFF2-40B4-BE49-F238E27FC236}">
              <a16:creationId xmlns:a16="http://schemas.microsoft.com/office/drawing/2014/main" id="{3343DC85-F9E5-4D33-93AA-98A19AD3F43C}"/>
            </a:ext>
          </a:extLst>
        </xdr:cNvPr>
        <xdr:cNvSpPr/>
      </xdr:nvSpPr>
      <xdr:spPr>
        <a:xfrm>
          <a:off x="5359399" y="3333750"/>
          <a:ext cx="66646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6</a:t>
          </a:r>
        </a:p>
      </xdr:txBody>
    </xdr:sp>
    <xdr:clientData/>
  </xdr:twoCellAnchor>
  <xdr:twoCellAnchor>
    <xdr:from>
      <xdr:col>3</xdr:col>
      <xdr:colOff>372918</xdr:colOff>
      <xdr:row>5</xdr:row>
      <xdr:rowOff>64943</xdr:rowOff>
    </xdr:from>
    <xdr:to>
      <xdr:col>4</xdr:col>
      <xdr:colOff>139556</xdr:colOff>
      <xdr:row>24</xdr:row>
      <xdr:rowOff>157956</xdr:rowOff>
    </xdr:to>
    <xdr:cxnSp macro="">
      <xdr:nvCxnSpPr>
        <xdr:cNvPr id="279" name="Прямая со стрелкой 278">
          <a:extLst>
            <a:ext uri="{FF2B5EF4-FFF2-40B4-BE49-F238E27FC236}">
              <a16:creationId xmlns:a16="http://schemas.microsoft.com/office/drawing/2014/main" id="{555E1B19-93A1-458D-9734-135CC3DA7266}"/>
            </a:ext>
          </a:extLst>
        </xdr:cNvPr>
        <xdr:cNvCxnSpPr>
          <a:stCxn id="266" idx="4"/>
          <a:endCxn id="267" idx="0"/>
        </xdr:cNvCxnSpPr>
      </xdr:nvCxnSpPr>
      <xdr:spPr>
        <a:xfrm flipH="1">
          <a:off x="2201718" y="1017443"/>
          <a:ext cx="376238" cy="371251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203055</xdr:colOff>
      <xdr:row>12</xdr:row>
      <xdr:rowOff>129235</xdr:rowOff>
    </xdr:from>
    <xdr:to>
      <xdr:col>10</xdr:col>
      <xdr:colOff>287193</xdr:colOff>
      <xdr:row>17</xdr:row>
      <xdr:rowOff>95250</xdr:rowOff>
    </xdr:to>
    <xdr:cxnSp macro="">
      <xdr:nvCxnSpPr>
        <xdr:cNvPr id="280" name="Прямая со стрелкой 279">
          <a:extLst>
            <a:ext uri="{FF2B5EF4-FFF2-40B4-BE49-F238E27FC236}">
              <a16:creationId xmlns:a16="http://schemas.microsoft.com/office/drawing/2014/main" id="{68F1B466-6099-4B64-AD44-D7CBD3CF53E2}"/>
            </a:ext>
          </a:extLst>
        </xdr:cNvPr>
        <xdr:cNvCxnSpPr>
          <a:stCxn id="290" idx="4"/>
          <a:endCxn id="278" idx="0"/>
        </xdr:cNvCxnSpPr>
      </xdr:nvCxnSpPr>
      <xdr:spPr>
        <a:xfrm flipH="1">
          <a:off x="5689455" y="2415235"/>
          <a:ext cx="693738" cy="91851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88611</xdr:colOff>
      <xdr:row>20</xdr:row>
      <xdr:rowOff>101528</xdr:rowOff>
    </xdr:from>
    <xdr:to>
      <xdr:col>6</xdr:col>
      <xdr:colOff>71438</xdr:colOff>
      <xdr:row>26</xdr:row>
      <xdr:rowOff>123753</xdr:rowOff>
    </xdr:to>
    <xdr:cxnSp macro="">
      <xdr:nvCxnSpPr>
        <xdr:cNvPr id="281" name="Прямая со стрелкой 280">
          <a:extLst>
            <a:ext uri="{FF2B5EF4-FFF2-40B4-BE49-F238E27FC236}">
              <a16:creationId xmlns:a16="http://schemas.microsoft.com/office/drawing/2014/main" id="{236D30D6-E83B-47FB-B10D-DF8B6A844889}"/>
            </a:ext>
          </a:extLst>
        </xdr:cNvPr>
        <xdr:cNvCxnSpPr>
          <a:stCxn id="267" idx="6"/>
          <a:endCxn id="269" idx="2"/>
        </xdr:cNvCxnSpPr>
      </xdr:nvCxnSpPr>
      <xdr:spPr>
        <a:xfrm flipV="1">
          <a:off x="2527011" y="3911528"/>
          <a:ext cx="1202027" cy="11652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109992</xdr:colOff>
      <xdr:row>14</xdr:row>
      <xdr:rowOff>97512</xdr:rowOff>
    </xdr:from>
    <xdr:to>
      <xdr:col>6</xdr:col>
      <xdr:colOff>407844</xdr:colOff>
      <xdr:row>18</xdr:row>
      <xdr:rowOff>135731</xdr:rowOff>
    </xdr:to>
    <xdr:cxnSp macro="">
      <xdr:nvCxnSpPr>
        <xdr:cNvPr id="282" name="Прямая со стрелкой 281">
          <a:extLst>
            <a:ext uri="{FF2B5EF4-FFF2-40B4-BE49-F238E27FC236}">
              <a16:creationId xmlns:a16="http://schemas.microsoft.com/office/drawing/2014/main" id="{5D4C0130-E8FF-4915-80EA-993FC2EAD9B3}"/>
            </a:ext>
          </a:extLst>
        </xdr:cNvPr>
        <xdr:cNvCxnSpPr>
          <a:stCxn id="268" idx="5"/>
          <a:endCxn id="269" idx="0"/>
        </xdr:cNvCxnSpPr>
      </xdr:nvCxnSpPr>
      <xdr:spPr>
        <a:xfrm>
          <a:off x="3767592" y="2764512"/>
          <a:ext cx="297852" cy="80021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128299</xdr:colOff>
      <xdr:row>19</xdr:row>
      <xdr:rowOff>61047</xdr:rowOff>
    </xdr:from>
    <xdr:to>
      <xdr:col>8</xdr:col>
      <xdr:colOff>482599</xdr:colOff>
      <xdr:row>20</xdr:row>
      <xdr:rowOff>101528</xdr:rowOff>
    </xdr:to>
    <xdr:cxnSp macro="">
      <xdr:nvCxnSpPr>
        <xdr:cNvPr id="283" name="Прямая со стрелкой 282">
          <a:extLst>
            <a:ext uri="{FF2B5EF4-FFF2-40B4-BE49-F238E27FC236}">
              <a16:creationId xmlns:a16="http://schemas.microsoft.com/office/drawing/2014/main" id="{70EA09A4-1EEE-464E-B5FF-E01524C6795F}"/>
            </a:ext>
          </a:extLst>
        </xdr:cNvPr>
        <xdr:cNvCxnSpPr>
          <a:stCxn id="269" idx="6"/>
          <a:endCxn id="278" idx="2"/>
        </xdr:cNvCxnSpPr>
      </xdr:nvCxnSpPr>
      <xdr:spPr>
        <a:xfrm flipV="1">
          <a:off x="4395499" y="3680547"/>
          <a:ext cx="963900" cy="2309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512760</xdr:colOff>
      <xdr:row>17</xdr:row>
      <xdr:rowOff>23812</xdr:rowOff>
    </xdr:from>
    <xdr:to>
      <xdr:col>8</xdr:col>
      <xdr:colOff>425450</xdr:colOff>
      <xdr:row>18</xdr:row>
      <xdr:rowOff>116681</xdr:rowOff>
    </xdr:to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D8BF626-5554-4A0E-B11A-C0F9E82043A9}"/>
            </a:ext>
          </a:extLst>
        </xdr:cNvPr>
        <xdr:cNvSpPr txBox="1"/>
      </xdr:nvSpPr>
      <xdr:spPr>
        <a:xfrm>
          <a:off x="4779960" y="3262312"/>
          <a:ext cx="522290" cy="2833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Д 2</a:t>
          </a:r>
          <a:endParaRPr lang="ru-RU" sz="1100"/>
        </a:p>
      </xdr:txBody>
    </xdr:sp>
    <xdr:clientData/>
  </xdr:twoCellAnchor>
  <xdr:twoCellAnchor>
    <xdr:from>
      <xdr:col>7</xdr:col>
      <xdr:colOff>128299</xdr:colOff>
      <xdr:row>20</xdr:row>
      <xdr:rowOff>101528</xdr:rowOff>
    </xdr:from>
    <xdr:to>
      <xdr:col>8</xdr:col>
      <xdr:colOff>454024</xdr:colOff>
      <xdr:row>29</xdr:row>
      <xdr:rowOff>12629</xdr:rowOff>
    </xdr:to>
    <xdr:cxnSp macro="">
      <xdr:nvCxnSpPr>
        <xdr:cNvPr id="285" name="Прямая со стрелкой 284">
          <a:extLst>
            <a:ext uri="{FF2B5EF4-FFF2-40B4-BE49-F238E27FC236}">
              <a16:creationId xmlns:a16="http://schemas.microsoft.com/office/drawing/2014/main" id="{0E2FC8CA-842E-44B3-80FC-599AB5D8FB18}"/>
            </a:ext>
          </a:extLst>
        </xdr:cNvPr>
        <xdr:cNvCxnSpPr>
          <a:stCxn id="269" idx="6"/>
          <a:endCxn id="277" idx="2"/>
        </xdr:cNvCxnSpPr>
      </xdr:nvCxnSpPr>
      <xdr:spPr>
        <a:xfrm>
          <a:off x="4395499" y="3911528"/>
          <a:ext cx="935325" cy="16256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289430</xdr:colOff>
      <xdr:row>29</xdr:row>
      <xdr:rowOff>156297</xdr:rowOff>
    </xdr:from>
    <xdr:to>
      <xdr:col>16</xdr:col>
      <xdr:colOff>260350</xdr:colOff>
      <xdr:row>31</xdr:row>
      <xdr:rowOff>132557</xdr:rowOff>
    </xdr:to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48C1D9D4-D11A-47CA-A8B6-1D1047C0071E}"/>
            </a:ext>
          </a:extLst>
        </xdr:cNvPr>
        <xdr:cNvSpPr txBox="1"/>
      </xdr:nvSpPr>
      <xdr:spPr>
        <a:xfrm>
          <a:off x="9433430" y="5680797"/>
          <a:ext cx="580520" cy="357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О 6</a:t>
          </a:r>
          <a:endParaRPr lang="ru-RU" sz="1100"/>
        </a:p>
      </xdr:txBody>
    </xdr:sp>
    <xdr:clientData/>
  </xdr:twoCellAnchor>
  <xdr:twoCellAnchor>
    <xdr:from>
      <xdr:col>7</xdr:col>
      <xdr:colOff>128299</xdr:colOff>
      <xdr:row>20</xdr:row>
      <xdr:rowOff>101528</xdr:rowOff>
    </xdr:from>
    <xdr:to>
      <xdr:col>22</xdr:col>
      <xdr:colOff>485776</xdr:colOff>
      <xdr:row>37</xdr:row>
      <xdr:rowOff>107084</xdr:rowOff>
    </xdr:to>
    <xdr:cxnSp macro="">
      <xdr:nvCxnSpPr>
        <xdr:cNvPr id="287" name="Прямая со стрелкой 286">
          <a:extLst>
            <a:ext uri="{FF2B5EF4-FFF2-40B4-BE49-F238E27FC236}">
              <a16:creationId xmlns:a16="http://schemas.microsoft.com/office/drawing/2014/main" id="{68130949-B6E8-48B4-B422-8950FD527743}"/>
            </a:ext>
          </a:extLst>
        </xdr:cNvPr>
        <xdr:cNvCxnSpPr>
          <a:cxnSpLocks/>
          <a:stCxn id="269" idx="6"/>
          <a:endCxn id="314" idx="2"/>
        </xdr:cNvCxnSpPr>
      </xdr:nvCxnSpPr>
      <xdr:spPr>
        <a:xfrm>
          <a:off x="4395499" y="3911528"/>
          <a:ext cx="9501477" cy="324405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24</xdr:row>
      <xdr:rowOff>14288</xdr:rowOff>
    </xdr:from>
    <xdr:to>
      <xdr:col>7</xdr:col>
      <xdr:colOff>595978</xdr:colOff>
      <xdr:row>25</xdr:row>
      <xdr:rowOff>116681</xdr:rowOff>
    </xdr:to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4329C59-96B5-4834-93CC-735518E88FF0}"/>
            </a:ext>
          </a:extLst>
        </xdr:cNvPr>
        <xdr:cNvSpPr txBox="1"/>
      </xdr:nvSpPr>
      <xdr:spPr>
        <a:xfrm>
          <a:off x="4305300" y="4586288"/>
          <a:ext cx="557878" cy="292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Е</a:t>
          </a:r>
          <a:r>
            <a:rPr lang="ru-RU" sz="1800" baseline="0"/>
            <a:t> 4</a:t>
          </a:r>
          <a:endParaRPr lang="ru-RU" sz="1100"/>
        </a:p>
      </xdr:txBody>
    </xdr:sp>
    <xdr:clientData/>
  </xdr:twoCellAnchor>
  <xdr:twoCellAnchor>
    <xdr:from>
      <xdr:col>7</xdr:col>
      <xdr:colOff>128299</xdr:colOff>
      <xdr:row>10</xdr:row>
      <xdr:rowOff>163439</xdr:rowOff>
    </xdr:from>
    <xdr:to>
      <xdr:col>9</xdr:col>
      <xdr:colOff>566737</xdr:colOff>
      <xdr:row>20</xdr:row>
      <xdr:rowOff>101528</xdr:rowOff>
    </xdr:to>
    <xdr:cxnSp macro="">
      <xdr:nvCxnSpPr>
        <xdr:cNvPr id="289" name="Прямая со стрелкой 288">
          <a:extLst>
            <a:ext uri="{FF2B5EF4-FFF2-40B4-BE49-F238E27FC236}">
              <a16:creationId xmlns:a16="http://schemas.microsoft.com/office/drawing/2014/main" id="{EEC0ACC6-7BB3-4A93-8DC5-E7A1D9EA159E}"/>
            </a:ext>
          </a:extLst>
        </xdr:cNvPr>
        <xdr:cNvCxnSpPr>
          <a:stCxn id="269" idx="6"/>
          <a:endCxn id="290" idx="2"/>
        </xdr:cNvCxnSpPr>
      </xdr:nvCxnSpPr>
      <xdr:spPr>
        <a:xfrm flipV="1">
          <a:off x="4395499" y="2068439"/>
          <a:ext cx="1657638" cy="184308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566737</xdr:colOff>
      <xdr:row>9</xdr:row>
      <xdr:rowOff>7142</xdr:rowOff>
    </xdr:from>
    <xdr:to>
      <xdr:col>11</xdr:col>
      <xdr:colOff>13998</xdr:colOff>
      <xdr:row>12</xdr:row>
      <xdr:rowOff>129235</xdr:rowOff>
    </xdr:to>
    <xdr:sp macro="" textlink="">
      <xdr:nvSpPr>
        <xdr:cNvPr id="290" name="Овал 289">
          <a:extLst>
            <a:ext uri="{FF2B5EF4-FFF2-40B4-BE49-F238E27FC236}">
              <a16:creationId xmlns:a16="http://schemas.microsoft.com/office/drawing/2014/main" id="{C01F5CC6-628E-4E58-B435-5436261FA9EC}"/>
            </a:ext>
          </a:extLst>
        </xdr:cNvPr>
        <xdr:cNvSpPr/>
      </xdr:nvSpPr>
      <xdr:spPr>
        <a:xfrm>
          <a:off x="6053137" y="1721642"/>
          <a:ext cx="66646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8</a:t>
          </a:r>
        </a:p>
      </xdr:txBody>
    </xdr:sp>
    <xdr:clientData/>
  </xdr:twoCellAnchor>
  <xdr:twoCellAnchor>
    <xdr:from>
      <xdr:col>8</xdr:col>
      <xdr:colOff>215901</xdr:colOff>
      <xdr:row>10</xdr:row>
      <xdr:rowOff>178592</xdr:rowOff>
    </xdr:from>
    <xdr:to>
      <xdr:col>9</xdr:col>
      <xdr:colOff>152399</xdr:colOff>
      <xdr:row>12</xdr:row>
      <xdr:rowOff>116681</xdr:rowOff>
    </xdr:to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3632BA16-4A01-4671-936B-FAE517681802}"/>
            </a:ext>
          </a:extLst>
        </xdr:cNvPr>
        <xdr:cNvSpPr txBox="1"/>
      </xdr:nvSpPr>
      <xdr:spPr>
        <a:xfrm>
          <a:off x="5092701" y="2083592"/>
          <a:ext cx="546098" cy="3190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Ж 4</a:t>
          </a:r>
          <a:endParaRPr lang="ru-RU" sz="1100"/>
        </a:p>
      </xdr:txBody>
    </xdr:sp>
    <xdr:clientData/>
  </xdr:twoCellAnchor>
  <xdr:twoCellAnchor>
    <xdr:from>
      <xdr:col>11</xdr:col>
      <xdr:colOff>258763</xdr:colOff>
      <xdr:row>17</xdr:row>
      <xdr:rowOff>80962</xdr:rowOff>
    </xdr:from>
    <xdr:to>
      <xdr:col>12</xdr:col>
      <xdr:colOff>315624</xdr:colOff>
      <xdr:row>21</xdr:row>
      <xdr:rowOff>12555</xdr:rowOff>
    </xdr:to>
    <xdr:sp macro="" textlink="">
      <xdr:nvSpPr>
        <xdr:cNvPr id="292" name="Овал 291">
          <a:extLst>
            <a:ext uri="{FF2B5EF4-FFF2-40B4-BE49-F238E27FC236}">
              <a16:creationId xmlns:a16="http://schemas.microsoft.com/office/drawing/2014/main" id="{012A2DF7-D2C0-4D47-808B-5342B93C1704}"/>
            </a:ext>
          </a:extLst>
        </xdr:cNvPr>
        <xdr:cNvSpPr/>
      </xdr:nvSpPr>
      <xdr:spPr>
        <a:xfrm>
          <a:off x="6964363" y="3319462"/>
          <a:ext cx="66646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9</a:t>
          </a:r>
        </a:p>
      </xdr:txBody>
    </xdr:sp>
    <xdr:clientData/>
  </xdr:twoCellAnchor>
  <xdr:twoCellAnchor>
    <xdr:from>
      <xdr:col>9</xdr:col>
      <xdr:colOff>539460</xdr:colOff>
      <xdr:row>19</xdr:row>
      <xdr:rowOff>46759</xdr:rowOff>
    </xdr:from>
    <xdr:to>
      <xdr:col>11</xdr:col>
      <xdr:colOff>258763</xdr:colOff>
      <xdr:row>19</xdr:row>
      <xdr:rowOff>61047</xdr:rowOff>
    </xdr:to>
    <xdr:cxnSp macro="">
      <xdr:nvCxnSpPr>
        <xdr:cNvPr id="293" name="Прямая со стрелкой 292">
          <a:extLst>
            <a:ext uri="{FF2B5EF4-FFF2-40B4-BE49-F238E27FC236}">
              <a16:creationId xmlns:a16="http://schemas.microsoft.com/office/drawing/2014/main" id="{54D7772A-A350-4D3C-98CB-B4D253AEAE19}"/>
            </a:ext>
          </a:extLst>
        </xdr:cNvPr>
        <xdr:cNvCxnSpPr>
          <a:stCxn id="278" idx="6"/>
          <a:endCxn id="292" idx="2"/>
        </xdr:cNvCxnSpPr>
      </xdr:nvCxnSpPr>
      <xdr:spPr>
        <a:xfrm flipV="1">
          <a:off x="6025860" y="3666259"/>
          <a:ext cx="938503" cy="142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241300</xdr:colOff>
      <xdr:row>17</xdr:row>
      <xdr:rowOff>80962</xdr:rowOff>
    </xdr:from>
    <xdr:to>
      <xdr:col>11</xdr:col>
      <xdr:colOff>139700</xdr:colOff>
      <xdr:row>18</xdr:row>
      <xdr:rowOff>173831</xdr:rowOff>
    </xdr:to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34D83B69-9DD2-4DD3-AC59-C4915083E9A1}"/>
            </a:ext>
          </a:extLst>
        </xdr:cNvPr>
        <xdr:cNvSpPr txBox="1"/>
      </xdr:nvSpPr>
      <xdr:spPr>
        <a:xfrm>
          <a:off x="6337300" y="3319462"/>
          <a:ext cx="508000" cy="2833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З</a:t>
          </a:r>
          <a:r>
            <a:rPr lang="ru-RU" sz="1800" baseline="0"/>
            <a:t> 2</a:t>
          </a:r>
          <a:endParaRPr lang="ru-RU" sz="1100"/>
        </a:p>
      </xdr:txBody>
    </xdr:sp>
    <xdr:clientData/>
  </xdr:twoCellAnchor>
  <xdr:twoCellAnchor>
    <xdr:from>
      <xdr:col>9</xdr:col>
      <xdr:colOff>177655</xdr:colOff>
      <xdr:row>21</xdr:row>
      <xdr:rowOff>26843</xdr:rowOff>
    </xdr:from>
    <xdr:to>
      <xdr:col>9</xdr:col>
      <xdr:colOff>206230</xdr:colOff>
      <xdr:row>27</xdr:row>
      <xdr:rowOff>46832</xdr:rowOff>
    </xdr:to>
    <xdr:cxnSp macro="">
      <xdr:nvCxnSpPr>
        <xdr:cNvPr id="295" name="Прямая со стрелкой 294">
          <a:extLst>
            <a:ext uri="{FF2B5EF4-FFF2-40B4-BE49-F238E27FC236}">
              <a16:creationId xmlns:a16="http://schemas.microsoft.com/office/drawing/2014/main" id="{D8CCD427-0F7E-4331-86CE-919AF65D0412}"/>
            </a:ext>
          </a:extLst>
        </xdr:cNvPr>
        <xdr:cNvCxnSpPr>
          <a:stCxn id="277" idx="0"/>
          <a:endCxn id="278" idx="4"/>
        </xdr:cNvCxnSpPr>
      </xdr:nvCxnSpPr>
      <xdr:spPr>
        <a:xfrm flipV="1">
          <a:off x="5664055" y="4027343"/>
          <a:ext cx="28575" cy="116298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282577</xdr:colOff>
      <xdr:row>30</xdr:row>
      <xdr:rowOff>4763</xdr:rowOff>
    </xdr:from>
    <xdr:to>
      <xdr:col>12</xdr:col>
      <xdr:colOff>339438</xdr:colOff>
      <xdr:row>33</xdr:row>
      <xdr:rowOff>126856</xdr:rowOff>
    </xdr:to>
    <xdr:sp macro="" textlink="">
      <xdr:nvSpPr>
        <xdr:cNvPr id="296" name="Овал 295">
          <a:extLst>
            <a:ext uri="{FF2B5EF4-FFF2-40B4-BE49-F238E27FC236}">
              <a16:creationId xmlns:a16="http://schemas.microsoft.com/office/drawing/2014/main" id="{C83221C5-DDA7-4DD0-8E21-B13734B72A5A}"/>
            </a:ext>
          </a:extLst>
        </xdr:cNvPr>
        <xdr:cNvSpPr/>
      </xdr:nvSpPr>
      <xdr:spPr>
        <a:xfrm>
          <a:off x="6988177" y="5719763"/>
          <a:ext cx="66646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10</a:t>
          </a:r>
        </a:p>
      </xdr:txBody>
    </xdr:sp>
    <xdr:clientData/>
  </xdr:twoCellAnchor>
  <xdr:twoCellAnchor>
    <xdr:from>
      <xdr:col>9</xdr:col>
      <xdr:colOff>539460</xdr:colOff>
      <xdr:row>19</xdr:row>
      <xdr:rowOff>61047</xdr:rowOff>
    </xdr:from>
    <xdr:to>
      <xdr:col>12</xdr:col>
      <xdr:colOff>9383</xdr:colOff>
      <xdr:row>30</xdr:row>
      <xdr:rowOff>4763</xdr:rowOff>
    </xdr:to>
    <xdr:cxnSp macro="">
      <xdr:nvCxnSpPr>
        <xdr:cNvPr id="297" name="Прямая со стрелкой 296">
          <a:extLst>
            <a:ext uri="{FF2B5EF4-FFF2-40B4-BE49-F238E27FC236}">
              <a16:creationId xmlns:a16="http://schemas.microsoft.com/office/drawing/2014/main" id="{A077269B-84A5-4ED2-A43B-75B7C330DE47}"/>
            </a:ext>
          </a:extLst>
        </xdr:cNvPr>
        <xdr:cNvCxnSpPr>
          <a:stCxn id="278" idx="6"/>
          <a:endCxn id="296" idx="0"/>
        </xdr:cNvCxnSpPr>
      </xdr:nvCxnSpPr>
      <xdr:spPr>
        <a:xfrm>
          <a:off x="6025860" y="3680547"/>
          <a:ext cx="1298723" cy="203921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253208</xdr:colOff>
      <xdr:row>27</xdr:row>
      <xdr:rowOff>69056</xdr:rowOff>
    </xdr:from>
    <xdr:to>
      <xdr:col>11</xdr:col>
      <xdr:colOff>215900</xdr:colOff>
      <xdr:row>28</xdr:row>
      <xdr:rowOff>154781</xdr:rowOff>
    </xdr:to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1A1238B2-D4B1-4A81-AE86-C2AF5656EF54}"/>
            </a:ext>
          </a:extLst>
        </xdr:cNvPr>
        <xdr:cNvSpPr txBox="1"/>
      </xdr:nvSpPr>
      <xdr:spPr>
        <a:xfrm>
          <a:off x="6349208" y="5212556"/>
          <a:ext cx="572292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И 3</a:t>
          </a:r>
          <a:endParaRPr lang="ru-RU" sz="1100"/>
        </a:p>
      </xdr:txBody>
    </xdr:sp>
    <xdr:clientData/>
  </xdr:twoCellAnchor>
  <xdr:twoCellAnchor>
    <xdr:from>
      <xdr:col>11</xdr:col>
      <xdr:colOff>595169</xdr:colOff>
      <xdr:row>21</xdr:row>
      <xdr:rowOff>12555</xdr:rowOff>
    </xdr:from>
    <xdr:to>
      <xdr:col>12</xdr:col>
      <xdr:colOff>9383</xdr:colOff>
      <xdr:row>30</xdr:row>
      <xdr:rowOff>4763</xdr:rowOff>
    </xdr:to>
    <xdr:cxnSp macro="">
      <xdr:nvCxnSpPr>
        <xdr:cNvPr id="299" name="Прямая со стрелкой 298">
          <a:extLst>
            <a:ext uri="{FF2B5EF4-FFF2-40B4-BE49-F238E27FC236}">
              <a16:creationId xmlns:a16="http://schemas.microsoft.com/office/drawing/2014/main" id="{0517AC0E-80CF-4ACE-8CE9-5C7C82273313}"/>
            </a:ext>
          </a:extLst>
        </xdr:cNvPr>
        <xdr:cNvCxnSpPr>
          <a:stCxn id="296" idx="0"/>
          <a:endCxn id="292" idx="4"/>
        </xdr:cNvCxnSpPr>
      </xdr:nvCxnSpPr>
      <xdr:spPr>
        <a:xfrm flipH="1" flipV="1">
          <a:off x="7300769" y="4013055"/>
          <a:ext cx="23814" cy="170670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517525</xdr:colOff>
      <xdr:row>17</xdr:row>
      <xdr:rowOff>90487</xdr:rowOff>
    </xdr:from>
    <xdr:to>
      <xdr:col>14</xdr:col>
      <xdr:colOff>574387</xdr:colOff>
      <xdr:row>21</xdr:row>
      <xdr:rowOff>22080</xdr:rowOff>
    </xdr:to>
    <xdr:sp macro="" textlink="">
      <xdr:nvSpPr>
        <xdr:cNvPr id="300" name="Овал 299">
          <a:extLst>
            <a:ext uri="{FF2B5EF4-FFF2-40B4-BE49-F238E27FC236}">
              <a16:creationId xmlns:a16="http://schemas.microsoft.com/office/drawing/2014/main" id="{803C0C7E-D5DB-410D-9FF1-9825D58247E2}"/>
            </a:ext>
          </a:extLst>
        </xdr:cNvPr>
        <xdr:cNvSpPr/>
      </xdr:nvSpPr>
      <xdr:spPr>
        <a:xfrm>
          <a:off x="8442325" y="3328987"/>
          <a:ext cx="666462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11</a:t>
          </a:r>
        </a:p>
      </xdr:txBody>
    </xdr:sp>
    <xdr:clientData/>
  </xdr:twoCellAnchor>
  <xdr:twoCellAnchor>
    <xdr:from>
      <xdr:col>12</xdr:col>
      <xdr:colOff>315624</xdr:colOff>
      <xdr:row>19</xdr:row>
      <xdr:rowOff>46759</xdr:rowOff>
    </xdr:from>
    <xdr:to>
      <xdr:col>13</xdr:col>
      <xdr:colOff>517525</xdr:colOff>
      <xdr:row>19</xdr:row>
      <xdr:rowOff>56284</xdr:rowOff>
    </xdr:to>
    <xdr:cxnSp macro="">
      <xdr:nvCxnSpPr>
        <xdr:cNvPr id="301" name="Прямая со стрелкой 300">
          <a:extLst>
            <a:ext uri="{FF2B5EF4-FFF2-40B4-BE49-F238E27FC236}">
              <a16:creationId xmlns:a16="http://schemas.microsoft.com/office/drawing/2014/main" id="{1576B080-2020-4873-87B3-7CF833627715}"/>
            </a:ext>
          </a:extLst>
        </xdr:cNvPr>
        <xdr:cNvCxnSpPr>
          <a:stCxn id="292" idx="6"/>
          <a:endCxn id="300" idx="2"/>
        </xdr:cNvCxnSpPr>
      </xdr:nvCxnSpPr>
      <xdr:spPr>
        <a:xfrm>
          <a:off x="7630824" y="3666259"/>
          <a:ext cx="811501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542924</xdr:colOff>
      <xdr:row>17</xdr:row>
      <xdr:rowOff>69055</xdr:rowOff>
    </xdr:from>
    <xdr:to>
      <xdr:col>13</xdr:col>
      <xdr:colOff>431799</xdr:colOff>
      <xdr:row>19</xdr:row>
      <xdr:rowOff>21430</xdr:rowOff>
    </xdr:to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E3A09CE3-B20D-4C34-AAD2-3D4F2C6638E4}"/>
            </a:ext>
          </a:extLst>
        </xdr:cNvPr>
        <xdr:cNvSpPr txBox="1"/>
      </xdr:nvSpPr>
      <xdr:spPr>
        <a:xfrm>
          <a:off x="7858124" y="3307555"/>
          <a:ext cx="4984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К 3</a:t>
          </a:r>
          <a:endParaRPr lang="ru-RU" sz="1100"/>
        </a:p>
      </xdr:txBody>
    </xdr:sp>
    <xdr:clientData/>
  </xdr:twoCellAnchor>
  <xdr:twoCellAnchor>
    <xdr:from>
      <xdr:col>14</xdr:col>
      <xdr:colOff>574387</xdr:colOff>
      <xdr:row>19</xdr:row>
      <xdr:rowOff>56284</xdr:rowOff>
    </xdr:from>
    <xdr:to>
      <xdr:col>22</xdr:col>
      <xdr:colOff>485776</xdr:colOff>
      <xdr:row>37</xdr:row>
      <xdr:rowOff>107084</xdr:rowOff>
    </xdr:to>
    <xdr:cxnSp macro="">
      <xdr:nvCxnSpPr>
        <xdr:cNvPr id="303" name="Прямая со стрелкой 302">
          <a:extLst>
            <a:ext uri="{FF2B5EF4-FFF2-40B4-BE49-F238E27FC236}">
              <a16:creationId xmlns:a16="http://schemas.microsoft.com/office/drawing/2014/main" id="{853449B2-AC8A-48A8-AF2B-9B8275479BCB}"/>
            </a:ext>
          </a:extLst>
        </xdr:cNvPr>
        <xdr:cNvCxnSpPr>
          <a:cxnSpLocks/>
          <a:stCxn id="300" idx="6"/>
          <a:endCxn id="314" idx="2"/>
        </xdr:cNvCxnSpPr>
      </xdr:nvCxnSpPr>
      <xdr:spPr>
        <a:xfrm>
          <a:off x="9108787" y="3675784"/>
          <a:ext cx="4788189" cy="3479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379413</xdr:colOff>
      <xdr:row>21</xdr:row>
      <xdr:rowOff>45243</xdr:rowOff>
    </xdr:from>
    <xdr:to>
      <xdr:col>17</xdr:col>
      <xdr:colOff>330200</xdr:colOff>
      <xdr:row>23</xdr:row>
      <xdr:rowOff>2380</xdr:rowOff>
    </xdr:to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5AA347C0-8667-4F44-AB0F-482C28664A38}"/>
            </a:ext>
          </a:extLst>
        </xdr:cNvPr>
        <xdr:cNvSpPr txBox="1"/>
      </xdr:nvSpPr>
      <xdr:spPr>
        <a:xfrm>
          <a:off x="10133013" y="4045743"/>
          <a:ext cx="560387" cy="3381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Л 7</a:t>
          </a:r>
          <a:endParaRPr lang="ru-RU" sz="1100"/>
        </a:p>
      </xdr:txBody>
    </xdr:sp>
    <xdr:clientData/>
  </xdr:twoCellAnchor>
  <xdr:twoCellAnchor>
    <xdr:from>
      <xdr:col>4</xdr:col>
      <xdr:colOff>480724</xdr:colOff>
      <xdr:row>3</xdr:row>
      <xdr:rowOff>99147</xdr:rowOff>
    </xdr:from>
    <xdr:to>
      <xdr:col>9</xdr:col>
      <xdr:colOff>206230</xdr:colOff>
      <xdr:row>17</xdr:row>
      <xdr:rowOff>95250</xdr:rowOff>
    </xdr:to>
    <xdr:cxnSp macro="">
      <xdr:nvCxnSpPr>
        <xdr:cNvPr id="305" name="Прямая со стрелкой 304">
          <a:extLst>
            <a:ext uri="{FF2B5EF4-FFF2-40B4-BE49-F238E27FC236}">
              <a16:creationId xmlns:a16="http://schemas.microsoft.com/office/drawing/2014/main" id="{9CD6DD3E-83DD-4D1E-B1B1-269FB44FD39E}"/>
            </a:ext>
          </a:extLst>
        </xdr:cNvPr>
        <xdr:cNvCxnSpPr>
          <a:stCxn id="266" idx="6"/>
          <a:endCxn id="278" idx="0"/>
        </xdr:cNvCxnSpPr>
      </xdr:nvCxnSpPr>
      <xdr:spPr>
        <a:xfrm>
          <a:off x="2919124" y="670647"/>
          <a:ext cx="2773506" cy="266310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539460</xdr:colOff>
      <xdr:row>19</xdr:row>
      <xdr:rowOff>61047</xdr:rowOff>
    </xdr:from>
    <xdr:to>
      <xdr:col>22</xdr:col>
      <xdr:colOff>485776</xdr:colOff>
      <xdr:row>37</xdr:row>
      <xdr:rowOff>107084</xdr:rowOff>
    </xdr:to>
    <xdr:cxnSp macro="">
      <xdr:nvCxnSpPr>
        <xdr:cNvPr id="306" name="Прямая со стрелкой 305">
          <a:extLst>
            <a:ext uri="{FF2B5EF4-FFF2-40B4-BE49-F238E27FC236}">
              <a16:creationId xmlns:a16="http://schemas.microsoft.com/office/drawing/2014/main" id="{EDF984C1-9EF9-4B23-A6DA-F4E67B1F7D22}"/>
            </a:ext>
          </a:extLst>
        </xdr:cNvPr>
        <xdr:cNvCxnSpPr>
          <a:cxnSpLocks/>
          <a:stCxn id="278" idx="6"/>
          <a:endCxn id="314" idx="2"/>
        </xdr:cNvCxnSpPr>
      </xdr:nvCxnSpPr>
      <xdr:spPr>
        <a:xfrm>
          <a:off x="6025860" y="3680547"/>
          <a:ext cx="7871116" cy="34750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24</xdr:row>
      <xdr:rowOff>173831</xdr:rowOff>
    </xdr:from>
    <xdr:to>
      <xdr:col>15</xdr:col>
      <xdr:colOff>571500</xdr:colOff>
      <xdr:row>26</xdr:row>
      <xdr:rowOff>97631</xdr:rowOff>
    </xdr:to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45AF9D34-F03C-4D2F-84DB-7A06598CF3CE}"/>
            </a:ext>
          </a:extLst>
        </xdr:cNvPr>
        <xdr:cNvSpPr txBox="1"/>
      </xdr:nvSpPr>
      <xdr:spPr>
        <a:xfrm>
          <a:off x="9163050" y="4745831"/>
          <a:ext cx="5524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М 1</a:t>
          </a:r>
          <a:endParaRPr lang="ru-RU" sz="1100"/>
        </a:p>
      </xdr:txBody>
    </xdr:sp>
    <xdr:clientData/>
  </xdr:twoCellAnchor>
  <xdr:twoCellAnchor>
    <xdr:from>
      <xdr:col>3</xdr:col>
      <xdr:colOff>372918</xdr:colOff>
      <xdr:row>28</xdr:row>
      <xdr:rowOff>89549</xdr:rowOff>
    </xdr:from>
    <xdr:to>
      <xdr:col>17</xdr:col>
      <xdr:colOff>206375</xdr:colOff>
      <xdr:row>42</xdr:row>
      <xdr:rowOff>13421</xdr:rowOff>
    </xdr:to>
    <xdr:cxnSp macro="">
      <xdr:nvCxnSpPr>
        <xdr:cNvPr id="308" name="Прямая со стрелкой 307">
          <a:extLst>
            <a:ext uri="{FF2B5EF4-FFF2-40B4-BE49-F238E27FC236}">
              <a16:creationId xmlns:a16="http://schemas.microsoft.com/office/drawing/2014/main" id="{AD292D77-8296-4A2F-ADA3-EBE3DD84CD18}"/>
            </a:ext>
          </a:extLst>
        </xdr:cNvPr>
        <xdr:cNvCxnSpPr>
          <a:stCxn id="267" idx="4"/>
          <a:endCxn id="311" idx="2"/>
        </xdr:cNvCxnSpPr>
      </xdr:nvCxnSpPr>
      <xdr:spPr>
        <a:xfrm>
          <a:off x="2201718" y="5423549"/>
          <a:ext cx="8367857" cy="259087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339438</xdr:colOff>
      <xdr:row>31</xdr:row>
      <xdr:rowOff>161060</xdr:rowOff>
    </xdr:from>
    <xdr:to>
      <xdr:col>17</xdr:col>
      <xdr:colOff>206375</xdr:colOff>
      <xdr:row>42</xdr:row>
      <xdr:rowOff>13421</xdr:rowOff>
    </xdr:to>
    <xdr:cxnSp macro="">
      <xdr:nvCxnSpPr>
        <xdr:cNvPr id="309" name="Прямая со стрелкой 308">
          <a:extLst>
            <a:ext uri="{FF2B5EF4-FFF2-40B4-BE49-F238E27FC236}">
              <a16:creationId xmlns:a16="http://schemas.microsoft.com/office/drawing/2014/main" id="{9DFBC618-9E8C-4D78-8724-7F46BAB78D05}"/>
            </a:ext>
          </a:extLst>
        </xdr:cNvPr>
        <xdr:cNvCxnSpPr>
          <a:stCxn id="296" idx="6"/>
          <a:endCxn id="311" idx="2"/>
        </xdr:cNvCxnSpPr>
      </xdr:nvCxnSpPr>
      <xdr:spPr>
        <a:xfrm>
          <a:off x="7654638" y="6066560"/>
          <a:ext cx="2914937" cy="194786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217093</xdr:colOff>
      <xdr:row>20</xdr:row>
      <xdr:rowOff>101481</xdr:rowOff>
    </xdr:from>
    <xdr:to>
      <xdr:col>17</xdr:col>
      <xdr:colOff>206375</xdr:colOff>
      <xdr:row>42</xdr:row>
      <xdr:rowOff>13421</xdr:rowOff>
    </xdr:to>
    <xdr:cxnSp macro="">
      <xdr:nvCxnSpPr>
        <xdr:cNvPr id="310" name="Прямая со стрелкой 309">
          <a:extLst>
            <a:ext uri="{FF2B5EF4-FFF2-40B4-BE49-F238E27FC236}">
              <a16:creationId xmlns:a16="http://schemas.microsoft.com/office/drawing/2014/main" id="{F2F1FAFC-BC9D-4F9E-811A-3C3BC2EE0BE0}"/>
            </a:ext>
          </a:extLst>
        </xdr:cNvPr>
        <xdr:cNvCxnSpPr>
          <a:stCxn id="292" idx="5"/>
          <a:endCxn id="311" idx="2"/>
        </xdr:cNvCxnSpPr>
      </xdr:nvCxnSpPr>
      <xdr:spPr>
        <a:xfrm>
          <a:off x="7532293" y="3911481"/>
          <a:ext cx="3037282" cy="410294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206375</xdr:colOff>
      <xdr:row>40</xdr:row>
      <xdr:rowOff>47624</xdr:rowOff>
    </xdr:from>
    <xdr:to>
      <xdr:col>18</xdr:col>
      <xdr:colOff>263236</xdr:colOff>
      <xdr:row>43</xdr:row>
      <xdr:rowOff>169717</xdr:rowOff>
    </xdr:to>
    <xdr:sp macro="" textlink="">
      <xdr:nvSpPr>
        <xdr:cNvPr id="311" name="Овал 310">
          <a:extLst>
            <a:ext uri="{FF2B5EF4-FFF2-40B4-BE49-F238E27FC236}">
              <a16:creationId xmlns:a16="http://schemas.microsoft.com/office/drawing/2014/main" id="{825A7B96-8AC1-4B22-BD3F-33A671B1DB41}"/>
            </a:ext>
          </a:extLst>
        </xdr:cNvPr>
        <xdr:cNvSpPr/>
      </xdr:nvSpPr>
      <xdr:spPr>
        <a:xfrm>
          <a:off x="10569575" y="7667624"/>
          <a:ext cx="66646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12</a:t>
          </a:r>
        </a:p>
      </xdr:txBody>
    </xdr:sp>
    <xdr:clientData/>
  </xdr:twoCellAnchor>
  <xdr:twoCellAnchor>
    <xdr:from>
      <xdr:col>18</xdr:col>
      <xdr:colOff>263236</xdr:colOff>
      <xdr:row>37</xdr:row>
      <xdr:rowOff>107084</xdr:rowOff>
    </xdr:from>
    <xdr:to>
      <xdr:col>22</xdr:col>
      <xdr:colOff>485776</xdr:colOff>
      <xdr:row>42</xdr:row>
      <xdr:rowOff>13421</xdr:rowOff>
    </xdr:to>
    <xdr:cxnSp macro="">
      <xdr:nvCxnSpPr>
        <xdr:cNvPr id="312" name="Прямая со стрелкой 311">
          <a:extLst>
            <a:ext uri="{FF2B5EF4-FFF2-40B4-BE49-F238E27FC236}">
              <a16:creationId xmlns:a16="http://schemas.microsoft.com/office/drawing/2014/main" id="{35AF365D-20A3-4AF7-B60A-B032CCEB5515}"/>
            </a:ext>
          </a:extLst>
        </xdr:cNvPr>
        <xdr:cNvCxnSpPr>
          <a:cxnSpLocks/>
          <a:stCxn id="311" idx="6"/>
          <a:endCxn id="314" idx="2"/>
        </xdr:cNvCxnSpPr>
      </xdr:nvCxnSpPr>
      <xdr:spPr>
        <a:xfrm flipV="1">
          <a:off x="11236036" y="7155584"/>
          <a:ext cx="2660940" cy="8588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88900</xdr:colOff>
      <xdr:row>38</xdr:row>
      <xdr:rowOff>78580</xdr:rowOff>
    </xdr:from>
    <xdr:to>
      <xdr:col>20</xdr:col>
      <xdr:colOff>44450</xdr:colOff>
      <xdr:row>40</xdr:row>
      <xdr:rowOff>37305</xdr:rowOff>
    </xdr:to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54F96119-7AFC-446C-94C1-4003C24FC205}"/>
            </a:ext>
          </a:extLst>
        </xdr:cNvPr>
        <xdr:cNvSpPr txBox="1"/>
      </xdr:nvSpPr>
      <xdr:spPr>
        <a:xfrm>
          <a:off x="11671300" y="7317580"/>
          <a:ext cx="565150" cy="339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П 8</a:t>
          </a:r>
          <a:endParaRPr lang="ru-RU" sz="1100"/>
        </a:p>
      </xdr:txBody>
    </xdr:sp>
    <xdr:clientData/>
  </xdr:twoCellAnchor>
  <xdr:twoCellAnchor>
    <xdr:from>
      <xdr:col>22</xdr:col>
      <xdr:colOff>485776</xdr:colOff>
      <xdr:row>35</xdr:row>
      <xdr:rowOff>141287</xdr:rowOff>
    </xdr:from>
    <xdr:to>
      <xdr:col>23</xdr:col>
      <xdr:colOff>542637</xdr:colOff>
      <xdr:row>39</xdr:row>
      <xdr:rowOff>72880</xdr:rowOff>
    </xdr:to>
    <xdr:sp macro="" textlink="">
      <xdr:nvSpPr>
        <xdr:cNvPr id="314" name="Овал 313">
          <a:extLst>
            <a:ext uri="{FF2B5EF4-FFF2-40B4-BE49-F238E27FC236}">
              <a16:creationId xmlns:a16="http://schemas.microsoft.com/office/drawing/2014/main" id="{62127A28-D70F-4DC3-A1E2-3A912C5E91D3}"/>
            </a:ext>
          </a:extLst>
        </xdr:cNvPr>
        <xdr:cNvSpPr/>
      </xdr:nvSpPr>
      <xdr:spPr>
        <a:xfrm>
          <a:off x="13896976" y="6808787"/>
          <a:ext cx="66646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13</a:t>
          </a: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10</xdr:row>
      <xdr:rowOff>79375</xdr:rowOff>
    </xdr:from>
    <xdr:to>
      <xdr:col>2</xdr:col>
      <xdr:colOff>348961</xdr:colOff>
      <xdr:row>14</xdr:row>
      <xdr:rowOff>10968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9787EBAD-BA71-49AE-A2C3-CB9ABE686406}"/>
            </a:ext>
          </a:extLst>
        </xdr:cNvPr>
        <xdr:cNvSpPr/>
      </xdr:nvSpPr>
      <xdr:spPr>
        <a:xfrm>
          <a:off x="895350" y="1984375"/>
          <a:ext cx="67281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1</a:t>
          </a:r>
        </a:p>
      </xdr:txBody>
    </xdr:sp>
    <xdr:clientData/>
  </xdr:twoCellAnchor>
  <xdr:twoCellAnchor>
    <xdr:from>
      <xdr:col>4</xdr:col>
      <xdr:colOff>347663</xdr:colOff>
      <xdr:row>1</xdr:row>
      <xdr:rowOff>111919</xdr:rowOff>
    </xdr:from>
    <xdr:to>
      <xdr:col>5</xdr:col>
      <xdr:colOff>410874</xdr:colOff>
      <xdr:row>5</xdr:row>
      <xdr:rowOff>43512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42DB10CC-72AE-473D-95E1-54F41D2891F0}"/>
            </a:ext>
          </a:extLst>
        </xdr:cNvPr>
        <xdr:cNvSpPr/>
      </xdr:nvSpPr>
      <xdr:spPr>
        <a:xfrm>
          <a:off x="2786063" y="302419"/>
          <a:ext cx="67281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2</a:t>
          </a:r>
        </a:p>
      </xdr:txBody>
    </xdr:sp>
    <xdr:clientData/>
  </xdr:twoCellAnchor>
  <xdr:twoCellAnchor>
    <xdr:from>
      <xdr:col>3</xdr:col>
      <xdr:colOff>574675</xdr:colOff>
      <xdr:row>24</xdr:row>
      <xdr:rowOff>136525</xdr:rowOff>
    </xdr:from>
    <xdr:to>
      <xdr:col>5</xdr:col>
      <xdr:colOff>18761</xdr:colOff>
      <xdr:row>28</xdr:row>
      <xdr:rowOff>68118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B34704F3-D028-474D-A511-B0B36E1C7355}"/>
            </a:ext>
          </a:extLst>
        </xdr:cNvPr>
        <xdr:cNvSpPr/>
      </xdr:nvSpPr>
      <xdr:spPr>
        <a:xfrm>
          <a:off x="2403475" y="4708525"/>
          <a:ext cx="663286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3</a:t>
          </a:r>
        </a:p>
      </xdr:txBody>
    </xdr:sp>
    <xdr:clientData/>
  </xdr:twoCellAnchor>
  <xdr:twoCellAnchor>
    <xdr:from>
      <xdr:col>6</xdr:col>
      <xdr:colOff>74612</xdr:colOff>
      <xdr:row>11</xdr:row>
      <xdr:rowOff>55562</xdr:rowOff>
    </xdr:from>
    <xdr:to>
      <xdr:col>7</xdr:col>
      <xdr:colOff>153698</xdr:colOff>
      <xdr:row>14</xdr:row>
      <xdr:rowOff>177655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03E53A55-E63F-413A-B4C1-D4706D779203}"/>
            </a:ext>
          </a:extLst>
        </xdr:cNvPr>
        <xdr:cNvSpPr/>
      </xdr:nvSpPr>
      <xdr:spPr>
        <a:xfrm>
          <a:off x="3732212" y="2151062"/>
          <a:ext cx="688686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4</a:t>
          </a:r>
        </a:p>
      </xdr:txBody>
    </xdr:sp>
    <xdr:clientData/>
  </xdr:twoCellAnchor>
  <xdr:twoCellAnchor>
    <xdr:from>
      <xdr:col>7</xdr:col>
      <xdr:colOff>14288</xdr:colOff>
      <xdr:row>18</xdr:row>
      <xdr:rowOff>114300</xdr:rowOff>
    </xdr:from>
    <xdr:to>
      <xdr:col>8</xdr:col>
      <xdr:colOff>77499</xdr:colOff>
      <xdr:row>22</xdr:row>
      <xdr:rowOff>45893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B09C79CA-6F09-47A5-9143-A81FC42C9BF7}"/>
            </a:ext>
          </a:extLst>
        </xdr:cNvPr>
        <xdr:cNvSpPr/>
      </xdr:nvSpPr>
      <xdr:spPr>
        <a:xfrm>
          <a:off x="4281488" y="3543300"/>
          <a:ext cx="67281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5</a:t>
          </a:r>
        </a:p>
      </xdr:txBody>
    </xdr:sp>
    <xdr:clientData/>
  </xdr:twoCellAnchor>
  <xdr:twoCellAnchor>
    <xdr:from>
      <xdr:col>2</xdr:col>
      <xdr:colOff>348961</xdr:colOff>
      <xdr:row>4</xdr:row>
      <xdr:rowOff>132438</xdr:rowOff>
    </xdr:from>
    <xdr:to>
      <xdr:col>4</xdr:col>
      <xdr:colOff>446194</xdr:colOff>
      <xdr:row>12</xdr:row>
      <xdr:rowOff>45172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6E445A0E-8F6D-4A1C-A804-2B0D43C39E45}"/>
            </a:ext>
          </a:extLst>
        </xdr:cNvPr>
        <xdr:cNvCxnSpPr>
          <a:stCxn id="2" idx="6"/>
          <a:endCxn id="3" idx="3"/>
        </xdr:cNvCxnSpPr>
      </xdr:nvCxnSpPr>
      <xdr:spPr>
        <a:xfrm flipV="1">
          <a:off x="1568161" y="894438"/>
          <a:ext cx="1316433" cy="14367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348961</xdr:colOff>
      <xdr:row>12</xdr:row>
      <xdr:rowOff>45172</xdr:rowOff>
    </xdr:from>
    <xdr:to>
      <xdr:col>3</xdr:col>
      <xdr:colOff>574675</xdr:colOff>
      <xdr:row>26</xdr:row>
      <xdr:rowOff>102322</xdr:rowOff>
    </xdr:to>
    <xdr:cxnSp macro="">
      <xdr:nvCxnSpPr>
        <xdr:cNvPr id="8" name="Прямая со стрелкой 7">
          <a:extLst>
            <a:ext uri="{FF2B5EF4-FFF2-40B4-BE49-F238E27FC236}">
              <a16:creationId xmlns:a16="http://schemas.microsoft.com/office/drawing/2014/main" id="{0C658E99-B83B-441F-B3EC-577E719EFBB5}"/>
            </a:ext>
          </a:extLst>
        </xdr:cNvPr>
        <xdr:cNvCxnSpPr>
          <a:stCxn id="2" idx="6"/>
          <a:endCxn id="4" idx="2"/>
        </xdr:cNvCxnSpPr>
      </xdr:nvCxnSpPr>
      <xdr:spPr>
        <a:xfrm>
          <a:off x="1568161" y="2331172"/>
          <a:ext cx="835314" cy="27241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533400</xdr:colOff>
      <xdr:row>6</xdr:row>
      <xdr:rowOff>114300</xdr:rowOff>
    </xdr:from>
    <xdr:to>
      <xdr:col>3</xdr:col>
      <xdr:colOff>440747</xdr:colOff>
      <xdr:row>7</xdr:row>
      <xdr:rowOff>189202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D782852-CF05-40AC-8855-3D90FD780667}"/>
            </a:ext>
          </a:extLst>
        </xdr:cNvPr>
        <xdr:cNvSpPr txBox="1"/>
      </xdr:nvSpPr>
      <xdr:spPr>
        <a:xfrm>
          <a:off x="1752600" y="1257300"/>
          <a:ext cx="516947" cy="265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А 1</a:t>
          </a:r>
          <a:endParaRPr lang="ru-RU" sz="1100"/>
        </a:p>
      </xdr:txBody>
    </xdr:sp>
    <xdr:clientData/>
  </xdr:twoCellAnchor>
  <xdr:twoCellAnchor>
    <xdr:from>
      <xdr:col>3</xdr:col>
      <xdr:colOff>12411</xdr:colOff>
      <xdr:row>14</xdr:row>
      <xdr:rowOff>168997</xdr:rowOff>
    </xdr:from>
    <xdr:to>
      <xdr:col>3</xdr:col>
      <xdr:colOff>533400</xdr:colOff>
      <xdr:row>16</xdr:row>
      <xdr:rowOff>95250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E1EBE5B-7A4F-49D5-8F25-F849EA3FC2E6}"/>
            </a:ext>
          </a:extLst>
        </xdr:cNvPr>
        <xdr:cNvSpPr txBox="1"/>
      </xdr:nvSpPr>
      <xdr:spPr>
        <a:xfrm>
          <a:off x="1841211" y="2835997"/>
          <a:ext cx="520989" cy="3072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Б 4</a:t>
          </a:r>
          <a:endParaRPr lang="ru-RU" sz="1100"/>
        </a:p>
      </xdr:txBody>
    </xdr:sp>
    <xdr:clientData/>
  </xdr:twoCellAnchor>
  <xdr:twoCellAnchor>
    <xdr:from>
      <xdr:col>4</xdr:col>
      <xdr:colOff>571500</xdr:colOff>
      <xdr:row>17</xdr:row>
      <xdr:rowOff>15009</xdr:rowOff>
    </xdr:from>
    <xdr:to>
      <xdr:col>5</xdr:col>
      <xdr:colOff>531811</xdr:colOff>
      <xdr:row>19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85788FD-7E67-4E58-BC19-787BF8BDEAE2}"/>
            </a:ext>
          </a:extLst>
        </xdr:cNvPr>
        <xdr:cNvSpPr txBox="1"/>
      </xdr:nvSpPr>
      <xdr:spPr>
        <a:xfrm>
          <a:off x="3009900" y="3253509"/>
          <a:ext cx="569911" cy="4040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В 5</a:t>
          </a:r>
          <a:endParaRPr lang="ru-RU" sz="1100"/>
        </a:p>
      </xdr:txBody>
    </xdr:sp>
    <xdr:clientData/>
  </xdr:twoCellAnchor>
  <xdr:twoCellAnchor>
    <xdr:from>
      <xdr:col>5</xdr:col>
      <xdr:colOff>476251</xdr:colOff>
      <xdr:row>20</xdr:row>
      <xdr:rowOff>58666</xdr:rowOff>
    </xdr:from>
    <xdr:to>
      <xdr:col>6</xdr:col>
      <xdr:colOff>407411</xdr:colOff>
      <xdr:row>22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8186640-BF9C-4437-A6D8-D3BBF69680A0}"/>
            </a:ext>
          </a:extLst>
        </xdr:cNvPr>
        <xdr:cNvSpPr txBox="1"/>
      </xdr:nvSpPr>
      <xdr:spPr>
        <a:xfrm>
          <a:off x="3524251" y="3868666"/>
          <a:ext cx="540760" cy="322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Г 3</a:t>
          </a:r>
          <a:endParaRPr lang="ru-RU" sz="1100"/>
        </a:p>
      </xdr:txBody>
    </xdr:sp>
    <xdr:clientData/>
  </xdr:twoCellAnchor>
  <xdr:twoCellAnchor>
    <xdr:from>
      <xdr:col>5</xdr:col>
      <xdr:colOff>18761</xdr:colOff>
      <xdr:row>14</xdr:row>
      <xdr:rowOff>76081</xdr:rowOff>
    </xdr:from>
    <xdr:to>
      <xdr:col>6</xdr:col>
      <xdr:colOff>175468</xdr:colOff>
      <xdr:row>26</xdr:row>
      <xdr:rowOff>102322</xdr:rowOff>
    </xdr:to>
    <xdr:cxnSp macro="">
      <xdr:nvCxnSpPr>
        <xdr:cNvPr id="13" name="Прямая со стрелкой 12">
          <a:extLst>
            <a:ext uri="{FF2B5EF4-FFF2-40B4-BE49-F238E27FC236}">
              <a16:creationId xmlns:a16="http://schemas.microsoft.com/office/drawing/2014/main" id="{6E8A5585-F025-4F63-BF44-EB90F8C26C8E}"/>
            </a:ext>
          </a:extLst>
        </xdr:cNvPr>
        <xdr:cNvCxnSpPr>
          <a:stCxn id="4" idx="6"/>
          <a:endCxn id="5" idx="3"/>
        </xdr:cNvCxnSpPr>
      </xdr:nvCxnSpPr>
      <xdr:spPr>
        <a:xfrm flipV="1">
          <a:off x="3066761" y="2743081"/>
          <a:ext cx="766307" cy="23122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409574</xdr:colOff>
      <xdr:row>27</xdr:row>
      <xdr:rowOff>25401</xdr:rowOff>
    </xdr:from>
    <xdr:to>
      <xdr:col>10</xdr:col>
      <xdr:colOff>472785</xdr:colOff>
      <xdr:row>30</xdr:row>
      <xdr:rowOff>147494</xdr:rowOff>
    </xdr:to>
    <xdr:sp macro="" textlink="">
      <xdr:nvSpPr>
        <xdr:cNvPr id="14" name="Овал 13">
          <a:extLst>
            <a:ext uri="{FF2B5EF4-FFF2-40B4-BE49-F238E27FC236}">
              <a16:creationId xmlns:a16="http://schemas.microsoft.com/office/drawing/2014/main" id="{37C9EF90-6862-41F2-AF39-6FBE54A6739E}"/>
            </a:ext>
          </a:extLst>
        </xdr:cNvPr>
        <xdr:cNvSpPr/>
      </xdr:nvSpPr>
      <xdr:spPr>
        <a:xfrm>
          <a:off x="5838824" y="5168901"/>
          <a:ext cx="66646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7</a:t>
          </a:r>
        </a:p>
      </xdr:txBody>
    </xdr:sp>
    <xdr:clientData/>
  </xdr:twoCellAnchor>
  <xdr:twoCellAnchor>
    <xdr:from>
      <xdr:col>9</xdr:col>
      <xdr:colOff>438149</xdr:colOff>
      <xdr:row>17</xdr:row>
      <xdr:rowOff>73819</xdr:rowOff>
    </xdr:from>
    <xdr:to>
      <xdr:col>10</xdr:col>
      <xdr:colOff>501360</xdr:colOff>
      <xdr:row>21</xdr:row>
      <xdr:rowOff>5412</xdr:rowOff>
    </xdr:to>
    <xdr:sp macro="" textlink="">
      <xdr:nvSpPr>
        <xdr:cNvPr id="15" name="Овал 14">
          <a:extLst>
            <a:ext uri="{FF2B5EF4-FFF2-40B4-BE49-F238E27FC236}">
              <a16:creationId xmlns:a16="http://schemas.microsoft.com/office/drawing/2014/main" id="{B1DFC2C7-6469-4F93-AD43-CC83E93C2BD5}"/>
            </a:ext>
          </a:extLst>
        </xdr:cNvPr>
        <xdr:cNvSpPr/>
      </xdr:nvSpPr>
      <xdr:spPr>
        <a:xfrm>
          <a:off x="5924549" y="3312319"/>
          <a:ext cx="67281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6</a:t>
          </a:r>
        </a:p>
      </xdr:txBody>
    </xdr:sp>
    <xdr:clientData/>
  </xdr:twoCellAnchor>
  <xdr:twoCellAnchor>
    <xdr:from>
      <xdr:col>4</xdr:col>
      <xdr:colOff>296718</xdr:colOff>
      <xdr:row>5</xdr:row>
      <xdr:rowOff>43512</xdr:rowOff>
    </xdr:from>
    <xdr:to>
      <xdr:col>5</xdr:col>
      <xdr:colOff>69706</xdr:colOff>
      <xdr:row>24</xdr:row>
      <xdr:rowOff>136525</xdr:rowOff>
    </xdr:to>
    <xdr:cxnSp macro="">
      <xdr:nvCxnSpPr>
        <xdr:cNvPr id="16" name="Прямая со стрелкой 15">
          <a:extLst>
            <a:ext uri="{FF2B5EF4-FFF2-40B4-BE49-F238E27FC236}">
              <a16:creationId xmlns:a16="http://schemas.microsoft.com/office/drawing/2014/main" id="{CF116724-4B4C-4F24-A2C2-0E35A7585E8D}"/>
            </a:ext>
          </a:extLst>
        </xdr:cNvPr>
        <xdr:cNvCxnSpPr>
          <a:stCxn id="3" idx="4"/>
          <a:endCxn id="4" idx="0"/>
        </xdr:cNvCxnSpPr>
      </xdr:nvCxnSpPr>
      <xdr:spPr>
        <a:xfrm flipH="1">
          <a:off x="2735118" y="996012"/>
          <a:ext cx="382588" cy="371251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164955</xdr:colOff>
      <xdr:row>12</xdr:row>
      <xdr:rowOff>107804</xdr:rowOff>
    </xdr:from>
    <xdr:to>
      <xdr:col>11</xdr:col>
      <xdr:colOff>255443</xdr:colOff>
      <xdr:row>17</xdr:row>
      <xdr:rowOff>73819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296DA2DF-B637-46E9-B829-CDDD11B82A74}"/>
            </a:ext>
          </a:extLst>
        </xdr:cNvPr>
        <xdr:cNvCxnSpPr>
          <a:stCxn id="28" idx="4"/>
          <a:endCxn id="15" idx="0"/>
        </xdr:cNvCxnSpPr>
      </xdr:nvCxnSpPr>
      <xdr:spPr>
        <a:xfrm flipH="1">
          <a:off x="6260955" y="2393804"/>
          <a:ext cx="700088" cy="91851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18761</xdr:colOff>
      <xdr:row>20</xdr:row>
      <xdr:rowOff>80097</xdr:rowOff>
    </xdr:from>
    <xdr:to>
      <xdr:col>7</xdr:col>
      <xdr:colOff>14288</xdr:colOff>
      <xdr:row>26</xdr:row>
      <xdr:rowOff>102322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DDB4DE62-4257-4795-8898-4FAD83615B86}"/>
            </a:ext>
          </a:extLst>
        </xdr:cNvPr>
        <xdr:cNvCxnSpPr>
          <a:stCxn id="4" idx="6"/>
          <a:endCxn id="6" idx="2"/>
        </xdr:cNvCxnSpPr>
      </xdr:nvCxnSpPr>
      <xdr:spPr>
        <a:xfrm flipV="1">
          <a:off x="3066761" y="3890097"/>
          <a:ext cx="1214727" cy="11652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52842</xdr:colOff>
      <xdr:row>14</xdr:row>
      <xdr:rowOff>76081</xdr:rowOff>
    </xdr:from>
    <xdr:to>
      <xdr:col>7</xdr:col>
      <xdr:colOff>350694</xdr:colOff>
      <xdr:row>18</xdr:row>
      <xdr:rowOff>114300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FCB44AEA-2AF8-4B3B-A788-12298EBE9885}"/>
            </a:ext>
          </a:extLst>
        </xdr:cNvPr>
        <xdr:cNvCxnSpPr>
          <a:stCxn id="5" idx="5"/>
          <a:endCxn id="6" idx="0"/>
        </xdr:cNvCxnSpPr>
      </xdr:nvCxnSpPr>
      <xdr:spPr>
        <a:xfrm>
          <a:off x="4320042" y="2743081"/>
          <a:ext cx="297852" cy="80021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77499</xdr:colOff>
      <xdr:row>19</xdr:row>
      <xdr:rowOff>39616</xdr:rowOff>
    </xdr:from>
    <xdr:to>
      <xdr:col>9</xdr:col>
      <xdr:colOff>438149</xdr:colOff>
      <xdr:row>20</xdr:row>
      <xdr:rowOff>80097</xdr:rowOff>
    </xdr:to>
    <xdr:cxnSp macro="">
      <xdr:nvCxnSpPr>
        <xdr:cNvPr id="20" name="Прямая со стрелкой 19">
          <a:extLst>
            <a:ext uri="{FF2B5EF4-FFF2-40B4-BE49-F238E27FC236}">
              <a16:creationId xmlns:a16="http://schemas.microsoft.com/office/drawing/2014/main" id="{189FF2BF-6860-4AA4-804A-C01AC8A65E9A}"/>
            </a:ext>
          </a:extLst>
        </xdr:cNvPr>
        <xdr:cNvCxnSpPr>
          <a:stCxn id="6" idx="6"/>
          <a:endCxn id="15" idx="2"/>
        </xdr:cNvCxnSpPr>
      </xdr:nvCxnSpPr>
      <xdr:spPr>
        <a:xfrm flipV="1">
          <a:off x="4954299" y="3659116"/>
          <a:ext cx="970250" cy="2309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461960</xdr:colOff>
      <xdr:row>17</xdr:row>
      <xdr:rowOff>2381</xdr:rowOff>
    </xdr:from>
    <xdr:to>
      <xdr:col>9</xdr:col>
      <xdr:colOff>381000</xdr:colOff>
      <xdr:row>18</xdr:row>
      <xdr:rowOff>95250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5FD3C43-5539-48DB-8A1B-7A5E49947901}"/>
            </a:ext>
          </a:extLst>
        </xdr:cNvPr>
        <xdr:cNvSpPr txBox="1"/>
      </xdr:nvSpPr>
      <xdr:spPr>
        <a:xfrm>
          <a:off x="5338760" y="3240881"/>
          <a:ext cx="528640" cy="2833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Д 2</a:t>
          </a:r>
          <a:endParaRPr lang="ru-RU" sz="1100"/>
        </a:p>
      </xdr:txBody>
    </xdr:sp>
    <xdr:clientData/>
  </xdr:twoCellAnchor>
  <xdr:twoCellAnchor>
    <xdr:from>
      <xdr:col>8</xdr:col>
      <xdr:colOff>77499</xdr:colOff>
      <xdr:row>20</xdr:row>
      <xdr:rowOff>80097</xdr:rowOff>
    </xdr:from>
    <xdr:to>
      <xdr:col>9</xdr:col>
      <xdr:colOff>409574</xdr:colOff>
      <xdr:row>28</xdr:row>
      <xdr:rowOff>181698</xdr:rowOff>
    </xdr:to>
    <xdr:cxnSp macro="">
      <xdr:nvCxnSpPr>
        <xdr:cNvPr id="22" name="Прямая со стрелкой 21">
          <a:extLst>
            <a:ext uri="{FF2B5EF4-FFF2-40B4-BE49-F238E27FC236}">
              <a16:creationId xmlns:a16="http://schemas.microsoft.com/office/drawing/2014/main" id="{C41C281A-17BE-4517-ACA9-309A9237CA1B}"/>
            </a:ext>
          </a:extLst>
        </xdr:cNvPr>
        <xdr:cNvCxnSpPr>
          <a:stCxn id="6" idx="6"/>
          <a:endCxn id="14" idx="2"/>
        </xdr:cNvCxnSpPr>
      </xdr:nvCxnSpPr>
      <xdr:spPr>
        <a:xfrm>
          <a:off x="4903499" y="3890097"/>
          <a:ext cx="935325" cy="16256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289430</xdr:colOff>
      <xdr:row>29</xdr:row>
      <xdr:rowOff>134866</xdr:rowOff>
    </xdr:from>
    <xdr:to>
      <xdr:col>17</xdr:col>
      <xdr:colOff>266700</xdr:colOff>
      <xdr:row>31</xdr:row>
      <xdr:rowOff>111126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DAE1E08-3A3E-4E30-80FB-BFDDB343D202}"/>
            </a:ext>
          </a:extLst>
        </xdr:cNvPr>
        <xdr:cNvSpPr txBox="1"/>
      </xdr:nvSpPr>
      <xdr:spPr>
        <a:xfrm>
          <a:off x="9941430" y="5659366"/>
          <a:ext cx="580520" cy="357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О 6</a:t>
          </a:r>
          <a:endParaRPr lang="ru-RU" sz="1100"/>
        </a:p>
      </xdr:txBody>
    </xdr:sp>
    <xdr:clientData/>
  </xdr:twoCellAnchor>
  <xdr:twoCellAnchor>
    <xdr:from>
      <xdr:col>8</xdr:col>
      <xdr:colOff>77499</xdr:colOff>
      <xdr:row>20</xdr:row>
      <xdr:rowOff>80097</xdr:rowOff>
    </xdr:from>
    <xdr:to>
      <xdr:col>23</xdr:col>
      <xdr:colOff>530226</xdr:colOff>
      <xdr:row>37</xdr:row>
      <xdr:rowOff>85653</xdr:rowOff>
    </xdr:to>
    <xdr:cxnSp macro="">
      <xdr:nvCxnSpPr>
        <xdr:cNvPr id="24" name="Прямая со стрелкой 23">
          <a:extLst>
            <a:ext uri="{FF2B5EF4-FFF2-40B4-BE49-F238E27FC236}">
              <a16:creationId xmlns:a16="http://schemas.microsoft.com/office/drawing/2014/main" id="{139D4FF4-5DD3-4AAD-8D61-FCBBE7815E90}"/>
            </a:ext>
          </a:extLst>
        </xdr:cNvPr>
        <xdr:cNvCxnSpPr>
          <a:cxnSpLocks/>
          <a:stCxn id="6" idx="6"/>
          <a:endCxn id="55" idx="2"/>
        </xdr:cNvCxnSpPr>
      </xdr:nvCxnSpPr>
      <xdr:spPr>
        <a:xfrm>
          <a:off x="4954299" y="3890097"/>
          <a:ext cx="9596727" cy="324405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590550</xdr:colOff>
      <xdr:row>23</xdr:row>
      <xdr:rowOff>183357</xdr:rowOff>
    </xdr:from>
    <xdr:to>
      <xdr:col>8</xdr:col>
      <xdr:colOff>545178</xdr:colOff>
      <xdr:row>25</xdr:row>
      <xdr:rowOff>95250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546F310-C545-4FE2-A690-6E94A126AB9B}"/>
            </a:ext>
          </a:extLst>
        </xdr:cNvPr>
        <xdr:cNvSpPr txBox="1"/>
      </xdr:nvSpPr>
      <xdr:spPr>
        <a:xfrm>
          <a:off x="4857750" y="4564857"/>
          <a:ext cx="564228" cy="292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Е</a:t>
          </a:r>
          <a:r>
            <a:rPr lang="ru-RU" sz="1800" baseline="0"/>
            <a:t> 4</a:t>
          </a:r>
          <a:endParaRPr lang="ru-RU" sz="1100"/>
        </a:p>
      </xdr:txBody>
    </xdr:sp>
    <xdr:clientData/>
  </xdr:twoCellAnchor>
  <xdr:twoCellAnchor>
    <xdr:from>
      <xdr:col>8</xdr:col>
      <xdr:colOff>77499</xdr:colOff>
      <xdr:row>10</xdr:row>
      <xdr:rowOff>142008</xdr:rowOff>
    </xdr:from>
    <xdr:to>
      <xdr:col>10</xdr:col>
      <xdr:colOff>528637</xdr:colOff>
      <xdr:row>20</xdr:row>
      <xdr:rowOff>80097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AA9F1D62-0A83-41F2-B6C4-0F6A4ADFD025}"/>
            </a:ext>
          </a:extLst>
        </xdr:cNvPr>
        <xdr:cNvCxnSpPr>
          <a:stCxn id="6" idx="6"/>
          <a:endCxn id="28" idx="2"/>
        </xdr:cNvCxnSpPr>
      </xdr:nvCxnSpPr>
      <xdr:spPr>
        <a:xfrm flipV="1">
          <a:off x="4954299" y="2047008"/>
          <a:ext cx="1670338" cy="184308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528637</xdr:colOff>
      <xdr:row>8</xdr:row>
      <xdr:rowOff>176211</xdr:rowOff>
    </xdr:from>
    <xdr:to>
      <xdr:col>11</xdr:col>
      <xdr:colOff>591848</xdr:colOff>
      <xdr:row>12</xdr:row>
      <xdr:rowOff>107804</xdr:rowOff>
    </xdr:to>
    <xdr:sp macro="" textlink="">
      <xdr:nvSpPr>
        <xdr:cNvPr id="28" name="Овал 27">
          <a:extLst>
            <a:ext uri="{FF2B5EF4-FFF2-40B4-BE49-F238E27FC236}">
              <a16:creationId xmlns:a16="http://schemas.microsoft.com/office/drawing/2014/main" id="{EE9C3248-5DA4-46FB-9045-CE863705429C}"/>
            </a:ext>
          </a:extLst>
        </xdr:cNvPr>
        <xdr:cNvSpPr/>
      </xdr:nvSpPr>
      <xdr:spPr>
        <a:xfrm>
          <a:off x="6624637" y="1700211"/>
          <a:ext cx="67281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8</a:t>
          </a:r>
        </a:p>
      </xdr:txBody>
    </xdr:sp>
    <xdr:clientData/>
  </xdr:twoCellAnchor>
  <xdr:twoCellAnchor>
    <xdr:from>
      <xdr:col>9</xdr:col>
      <xdr:colOff>171451</xdr:colOff>
      <xdr:row>10</xdr:row>
      <xdr:rowOff>157161</xdr:rowOff>
    </xdr:from>
    <xdr:to>
      <xdr:col>10</xdr:col>
      <xdr:colOff>114299</xdr:colOff>
      <xdr:row>12</xdr:row>
      <xdr:rowOff>95250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249A48D-FD8A-47E4-BF9F-5FCA6DD86517}"/>
            </a:ext>
          </a:extLst>
        </xdr:cNvPr>
        <xdr:cNvSpPr txBox="1"/>
      </xdr:nvSpPr>
      <xdr:spPr>
        <a:xfrm>
          <a:off x="5657851" y="2062161"/>
          <a:ext cx="552448" cy="3190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Ж 4</a:t>
          </a:r>
          <a:endParaRPr lang="ru-RU" sz="1100"/>
        </a:p>
      </xdr:txBody>
    </xdr:sp>
    <xdr:clientData/>
  </xdr:twoCellAnchor>
  <xdr:twoCellAnchor>
    <xdr:from>
      <xdr:col>12</xdr:col>
      <xdr:colOff>233363</xdr:colOff>
      <xdr:row>17</xdr:row>
      <xdr:rowOff>59531</xdr:rowOff>
    </xdr:from>
    <xdr:to>
      <xdr:col>13</xdr:col>
      <xdr:colOff>296574</xdr:colOff>
      <xdr:row>20</xdr:row>
      <xdr:rowOff>181624</xdr:rowOff>
    </xdr:to>
    <xdr:sp macro="" textlink="">
      <xdr:nvSpPr>
        <xdr:cNvPr id="30" name="Овал 29">
          <a:extLst>
            <a:ext uri="{FF2B5EF4-FFF2-40B4-BE49-F238E27FC236}">
              <a16:creationId xmlns:a16="http://schemas.microsoft.com/office/drawing/2014/main" id="{5B387FCC-B73F-4D72-BE16-137C2F085B10}"/>
            </a:ext>
          </a:extLst>
        </xdr:cNvPr>
        <xdr:cNvSpPr/>
      </xdr:nvSpPr>
      <xdr:spPr>
        <a:xfrm>
          <a:off x="7548563" y="3298031"/>
          <a:ext cx="67281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9</a:t>
          </a:r>
        </a:p>
      </xdr:txBody>
    </xdr:sp>
    <xdr:clientData/>
  </xdr:twoCellAnchor>
  <xdr:twoCellAnchor>
    <xdr:from>
      <xdr:col>10</xdr:col>
      <xdr:colOff>501360</xdr:colOff>
      <xdr:row>19</xdr:row>
      <xdr:rowOff>25328</xdr:rowOff>
    </xdr:from>
    <xdr:to>
      <xdr:col>12</xdr:col>
      <xdr:colOff>233363</xdr:colOff>
      <xdr:row>19</xdr:row>
      <xdr:rowOff>39616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064CAB9E-7D0E-4834-9624-C05EC1D03BA5}"/>
            </a:ext>
          </a:extLst>
        </xdr:cNvPr>
        <xdr:cNvCxnSpPr>
          <a:stCxn id="15" idx="6"/>
          <a:endCxn id="30" idx="2"/>
        </xdr:cNvCxnSpPr>
      </xdr:nvCxnSpPr>
      <xdr:spPr>
        <a:xfrm flipV="1">
          <a:off x="6597360" y="3644828"/>
          <a:ext cx="951203" cy="142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209550</xdr:colOff>
      <xdr:row>17</xdr:row>
      <xdr:rowOff>59531</xdr:rowOff>
    </xdr:from>
    <xdr:to>
      <xdr:col>12</xdr:col>
      <xdr:colOff>114300</xdr:colOff>
      <xdr:row>18</xdr:row>
      <xdr:rowOff>152400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E83B35B-D388-4328-BCCE-5104D6044138}"/>
            </a:ext>
          </a:extLst>
        </xdr:cNvPr>
        <xdr:cNvSpPr txBox="1"/>
      </xdr:nvSpPr>
      <xdr:spPr>
        <a:xfrm>
          <a:off x="6915150" y="3298031"/>
          <a:ext cx="514350" cy="2833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З</a:t>
          </a:r>
          <a:r>
            <a:rPr lang="ru-RU" sz="1800" baseline="0"/>
            <a:t> 2</a:t>
          </a:r>
          <a:endParaRPr lang="ru-RU" sz="1100"/>
        </a:p>
      </xdr:txBody>
    </xdr:sp>
    <xdr:clientData/>
  </xdr:twoCellAnchor>
  <xdr:twoCellAnchor>
    <xdr:from>
      <xdr:col>10</xdr:col>
      <xdr:colOff>139555</xdr:colOff>
      <xdr:row>21</xdr:row>
      <xdr:rowOff>5412</xdr:rowOff>
    </xdr:from>
    <xdr:to>
      <xdr:col>10</xdr:col>
      <xdr:colOff>168130</xdr:colOff>
      <xdr:row>27</xdr:row>
      <xdr:rowOff>25401</xdr:rowOff>
    </xdr:to>
    <xdr:cxnSp macro="">
      <xdr:nvCxnSpPr>
        <xdr:cNvPr id="33" name="Прямая со стрелкой 32">
          <a:extLst>
            <a:ext uri="{FF2B5EF4-FFF2-40B4-BE49-F238E27FC236}">
              <a16:creationId xmlns:a16="http://schemas.microsoft.com/office/drawing/2014/main" id="{333147F3-C616-4699-B432-ADD6BB7480F8}"/>
            </a:ext>
          </a:extLst>
        </xdr:cNvPr>
        <xdr:cNvCxnSpPr>
          <a:stCxn id="14" idx="0"/>
          <a:endCxn id="15" idx="4"/>
        </xdr:cNvCxnSpPr>
      </xdr:nvCxnSpPr>
      <xdr:spPr>
        <a:xfrm flipV="1">
          <a:off x="6172055" y="4005912"/>
          <a:ext cx="28575" cy="116298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257177</xdr:colOff>
      <xdr:row>29</xdr:row>
      <xdr:rowOff>173832</xdr:rowOff>
    </xdr:from>
    <xdr:to>
      <xdr:col>13</xdr:col>
      <xdr:colOff>320388</xdr:colOff>
      <xdr:row>33</xdr:row>
      <xdr:rowOff>105425</xdr:rowOff>
    </xdr:to>
    <xdr:sp macro="" textlink="">
      <xdr:nvSpPr>
        <xdr:cNvPr id="34" name="Овал 33">
          <a:extLst>
            <a:ext uri="{FF2B5EF4-FFF2-40B4-BE49-F238E27FC236}">
              <a16:creationId xmlns:a16="http://schemas.microsoft.com/office/drawing/2014/main" id="{CAEFF440-F22A-4C86-8017-04E32749DDE4}"/>
            </a:ext>
          </a:extLst>
        </xdr:cNvPr>
        <xdr:cNvSpPr/>
      </xdr:nvSpPr>
      <xdr:spPr>
        <a:xfrm>
          <a:off x="7572377" y="5698332"/>
          <a:ext cx="67281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10</a:t>
          </a:r>
        </a:p>
      </xdr:txBody>
    </xdr:sp>
    <xdr:clientData/>
  </xdr:twoCellAnchor>
  <xdr:twoCellAnchor>
    <xdr:from>
      <xdr:col>10</xdr:col>
      <xdr:colOff>501360</xdr:colOff>
      <xdr:row>19</xdr:row>
      <xdr:rowOff>39616</xdr:rowOff>
    </xdr:from>
    <xdr:to>
      <xdr:col>12</xdr:col>
      <xdr:colOff>593583</xdr:colOff>
      <xdr:row>29</xdr:row>
      <xdr:rowOff>173832</xdr:rowOff>
    </xdr:to>
    <xdr:cxnSp macro="">
      <xdr:nvCxnSpPr>
        <xdr:cNvPr id="35" name="Прямая со стрелкой 34">
          <a:extLst>
            <a:ext uri="{FF2B5EF4-FFF2-40B4-BE49-F238E27FC236}">
              <a16:creationId xmlns:a16="http://schemas.microsoft.com/office/drawing/2014/main" id="{9C1BCA9E-AF4C-4929-BED8-C0EBB72FCF02}"/>
            </a:ext>
          </a:extLst>
        </xdr:cNvPr>
        <xdr:cNvCxnSpPr>
          <a:stCxn id="15" idx="6"/>
          <a:endCxn id="34" idx="0"/>
        </xdr:cNvCxnSpPr>
      </xdr:nvCxnSpPr>
      <xdr:spPr>
        <a:xfrm>
          <a:off x="6597360" y="3659116"/>
          <a:ext cx="1311423" cy="203921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221458</xdr:colOff>
      <xdr:row>27</xdr:row>
      <xdr:rowOff>47625</xdr:rowOff>
    </xdr:from>
    <xdr:to>
      <xdr:col>12</xdr:col>
      <xdr:colOff>190500</xdr:colOff>
      <xdr:row>28</xdr:row>
      <xdr:rowOff>133350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71F2F38-C02D-419B-ADA4-F686E7A893CB}"/>
            </a:ext>
          </a:extLst>
        </xdr:cNvPr>
        <xdr:cNvSpPr txBox="1"/>
      </xdr:nvSpPr>
      <xdr:spPr>
        <a:xfrm>
          <a:off x="6927058" y="5191125"/>
          <a:ext cx="578642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И 3</a:t>
          </a:r>
          <a:endParaRPr lang="ru-RU" sz="1100"/>
        </a:p>
      </xdr:txBody>
    </xdr:sp>
    <xdr:clientData/>
  </xdr:twoCellAnchor>
  <xdr:twoCellAnchor>
    <xdr:from>
      <xdr:col>12</xdr:col>
      <xdr:colOff>569769</xdr:colOff>
      <xdr:row>20</xdr:row>
      <xdr:rowOff>181624</xdr:rowOff>
    </xdr:from>
    <xdr:to>
      <xdr:col>12</xdr:col>
      <xdr:colOff>593583</xdr:colOff>
      <xdr:row>29</xdr:row>
      <xdr:rowOff>173832</xdr:rowOff>
    </xdr:to>
    <xdr:cxnSp macro="">
      <xdr:nvCxnSpPr>
        <xdr:cNvPr id="37" name="Прямая со стрелкой 36">
          <a:extLst>
            <a:ext uri="{FF2B5EF4-FFF2-40B4-BE49-F238E27FC236}">
              <a16:creationId xmlns:a16="http://schemas.microsoft.com/office/drawing/2014/main" id="{26119ACA-7D73-42D5-9AEC-F4BBB1088611}"/>
            </a:ext>
          </a:extLst>
        </xdr:cNvPr>
        <xdr:cNvCxnSpPr>
          <a:stCxn id="34" idx="0"/>
          <a:endCxn id="30" idx="4"/>
        </xdr:cNvCxnSpPr>
      </xdr:nvCxnSpPr>
      <xdr:spPr>
        <a:xfrm flipH="1" flipV="1">
          <a:off x="7884969" y="3991624"/>
          <a:ext cx="23814" cy="170670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504825</xdr:colOff>
      <xdr:row>17</xdr:row>
      <xdr:rowOff>69056</xdr:rowOff>
    </xdr:from>
    <xdr:to>
      <xdr:col>15</xdr:col>
      <xdr:colOff>568037</xdr:colOff>
      <xdr:row>21</xdr:row>
      <xdr:rowOff>649</xdr:rowOff>
    </xdr:to>
    <xdr:sp macro="" textlink="">
      <xdr:nvSpPr>
        <xdr:cNvPr id="38" name="Овал 37">
          <a:extLst>
            <a:ext uri="{FF2B5EF4-FFF2-40B4-BE49-F238E27FC236}">
              <a16:creationId xmlns:a16="http://schemas.microsoft.com/office/drawing/2014/main" id="{92E000DF-EEEB-424D-A5FD-11D2181E99D0}"/>
            </a:ext>
          </a:extLst>
        </xdr:cNvPr>
        <xdr:cNvSpPr/>
      </xdr:nvSpPr>
      <xdr:spPr>
        <a:xfrm>
          <a:off x="9039225" y="3307556"/>
          <a:ext cx="672812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11</a:t>
          </a:r>
        </a:p>
      </xdr:txBody>
    </xdr:sp>
    <xdr:clientData/>
  </xdr:twoCellAnchor>
  <xdr:twoCellAnchor>
    <xdr:from>
      <xdr:col>13</xdr:col>
      <xdr:colOff>296574</xdr:colOff>
      <xdr:row>19</xdr:row>
      <xdr:rowOff>25328</xdr:rowOff>
    </xdr:from>
    <xdr:to>
      <xdr:col>14</xdr:col>
      <xdr:colOff>504825</xdr:colOff>
      <xdr:row>19</xdr:row>
      <xdr:rowOff>34853</xdr:rowOff>
    </xdr:to>
    <xdr:cxnSp macro="">
      <xdr:nvCxnSpPr>
        <xdr:cNvPr id="39" name="Прямая со стрелкой 38">
          <a:extLst>
            <a:ext uri="{FF2B5EF4-FFF2-40B4-BE49-F238E27FC236}">
              <a16:creationId xmlns:a16="http://schemas.microsoft.com/office/drawing/2014/main" id="{801E0F37-8D70-4A0B-9421-D68C5FDFBCE6}"/>
            </a:ext>
          </a:extLst>
        </xdr:cNvPr>
        <xdr:cNvCxnSpPr>
          <a:stCxn id="30" idx="6"/>
          <a:endCxn id="38" idx="2"/>
        </xdr:cNvCxnSpPr>
      </xdr:nvCxnSpPr>
      <xdr:spPr>
        <a:xfrm>
          <a:off x="8221374" y="3644828"/>
          <a:ext cx="817851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523874</xdr:colOff>
      <xdr:row>17</xdr:row>
      <xdr:rowOff>47624</xdr:rowOff>
    </xdr:from>
    <xdr:to>
      <xdr:col>14</xdr:col>
      <xdr:colOff>419099</xdr:colOff>
      <xdr:row>19</xdr:row>
      <xdr:rowOff>-1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951EEAF-140B-4156-9947-C415B4B8BB61}"/>
            </a:ext>
          </a:extLst>
        </xdr:cNvPr>
        <xdr:cNvSpPr txBox="1"/>
      </xdr:nvSpPr>
      <xdr:spPr>
        <a:xfrm>
          <a:off x="8448674" y="3286124"/>
          <a:ext cx="5048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К 3</a:t>
          </a:r>
          <a:endParaRPr lang="ru-RU" sz="1100"/>
        </a:p>
      </xdr:txBody>
    </xdr:sp>
    <xdr:clientData/>
  </xdr:twoCellAnchor>
  <xdr:twoCellAnchor>
    <xdr:from>
      <xdr:col>15</xdr:col>
      <xdr:colOff>568037</xdr:colOff>
      <xdr:row>19</xdr:row>
      <xdr:rowOff>34853</xdr:rowOff>
    </xdr:from>
    <xdr:to>
      <xdr:col>23</xdr:col>
      <xdr:colOff>530226</xdr:colOff>
      <xdr:row>37</xdr:row>
      <xdr:rowOff>85653</xdr:rowOff>
    </xdr:to>
    <xdr:cxnSp macro="">
      <xdr:nvCxnSpPr>
        <xdr:cNvPr id="42" name="Прямая со стрелкой 41">
          <a:extLst>
            <a:ext uri="{FF2B5EF4-FFF2-40B4-BE49-F238E27FC236}">
              <a16:creationId xmlns:a16="http://schemas.microsoft.com/office/drawing/2014/main" id="{1A5AC920-8929-4D38-AE9A-195826A2BC02}"/>
            </a:ext>
          </a:extLst>
        </xdr:cNvPr>
        <xdr:cNvCxnSpPr>
          <a:cxnSpLocks/>
          <a:stCxn id="38" idx="6"/>
          <a:endCxn id="55" idx="2"/>
        </xdr:cNvCxnSpPr>
      </xdr:nvCxnSpPr>
      <xdr:spPr>
        <a:xfrm>
          <a:off x="9712037" y="3654353"/>
          <a:ext cx="4838989" cy="3479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385763</xdr:colOff>
      <xdr:row>21</xdr:row>
      <xdr:rowOff>23812</xdr:rowOff>
    </xdr:from>
    <xdr:to>
      <xdr:col>18</xdr:col>
      <xdr:colOff>342900</xdr:colOff>
      <xdr:row>22</xdr:row>
      <xdr:rowOff>171449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68455C9-3F95-4EF0-B6D7-09134F13670C}"/>
            </a:ext>
          </a:extLst>
        </xdr:cNvPr>
        <xdr:cNvSpPr txBox="1"/>
      </xdr:nvSpPr>
      <xdr:spPr>
        <a:xfrm>
          <a:off x="10748963" y="4024312"/>
          <a:ext cx="566737" cy="3381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Л 7</a:t>
          </a:r>
          <a:endParaRPr lang="ru-RU" sz="1100"/>
        </a:p>
      </xdr:txBody>
    </xdr:sp>
    <xdr:clientData/>
  </xdr:twoCellAnchor>
  <xdr:twoCellAnchor>
    <xdr:from>
      <xdr:col>5</xdr:col>
      <xdr:colOff>410874</xdr:colOff>
      <xdr:row>3</xdr:row>
      <xdr:rowOff>77716</xdr:rowOff>
    </xdr:from>
    <xdr:to>
      <xdr:col>10</xdr:col>
      <xdr:colOff>168130</xdr:colOff>
      <xdr:row>17</xdr:row>
      <xdr:rowOff>73819</xdr:rowOff>
    </xdr:to>
    <xdr:cxnSp macro="">
      <xdr:nvCxnSpPr>
        <xdr:cNvPr id="44" name="Прямая со стрелкой 43">
          <a:extLst>
            <a:ext uri="{FF2B5EF4-FFF2-40B4-BE49-F238E27FC236}">
              <a16:creationId xmlns:a16="http://schemas.microsoft.com/office/drawing/2014/main" id="{D673D77E-442E-4882-8985-4BEE60C613FA}"/>
            </a:ext>
          </a:extLst>
        </xdr:cNvPr>
        <xdr:cNvCxnSpPr>
          <a:stCxn id="3" idx="6"/>
          <a:endCxn id="15" idx="0"/>
        </xdr:cNvCxnSpPr>
      </xdr:nvCxnSpPr>
      <xdr:spPr>
        <a:xfrm>
          <a:off x="3458874" y="649216"/>
          <a:ext cx="2805256" cy="266310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501360</xdr:colOff>
      <xdr:row>19</xdr:row>
      <xdr:rowOff>39616</xdr:rowOff>
    </xdr:from>
    <xdr:to>
      <xdr:col>23</xdr:col>
      <xdr:colOff>530226</xdr:colOff>
      <xdr:row>37</xdr:row>
      <xdr:rowOff>85653</xdr:rowOff>
    </xdr:to>
    <xdr:cxnSp macro="">
      <xdr:nvCxnSpPr>
        <xdr:cNvPr id="45" name="Прямая со стрелкой 44">
          <a:extLst>
            <a:ext uri="{FF2B5EF4-FFF2-40B4-BE49-F238E27FC236}">
              <a16:creationId xmlns:a16="http://schemas.microsoft.com/office/drawing/2014/main" id="{585D8438-4739-4EEC-9D95-F124134FB90A}"/>
            </a:ext>
          </a:extLst>
        </xdr:cNvPr>
        <xdr:cNvCxnSpPr>
          <a:cxnSpLocks/>
          <a:stCxn id="15" idx="6"/>
          <a:endCxn id="55" idx="2"/>
        </xdr:cNvCxnSpPr>
      </xdr:nvCxnSpPr>
      <xdr:spPr>
        <a:xfrm>
          <a:off x="6597360" y="3659116"/>
          <a:ext cx="7953666" cy="34750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</xdr:colOff>
      <xdr:row>24</xdr:row>
      <xdr:rowOff>152400</xdr:rowOff>
    </xdr:from>
    <xdr:to>
      <xdr:col>16</xdr:col>
      <xdr:colOff>571500</xdr:colOff>
      <xdr:row>26</xdr:row>
      <xdr:rowOff>76200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2EA10B44-61D5-43AB-90E6-B1A6DB07EA48}"/>
            </a:ext>
          </a:extLst>
        </xdr:cNvPr>
        <xdr:cNvSpPr txBox="1"/>
      </xdr:nvSpPr>
      <xdr:spPr>
        <a:xfrm>
          <a:off x="9772650" y="4724400"/>
          <a:ext cx="5524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М 1</a:t>
          </a:r>
          <a:endParaRPr lang="ru-RU" sz="1100"/>
        </a:p>
      </xdr:txBody>
    </xdr:sp>
    <xdr:clientData/>
  </xdr:twoCellAnchor>
  <xdr:twoCellAnchor>
    <xdr:from>
      <xdr:col>4</xdr:col>
      <xdr:colOff>296718</xdr:colOff>
      <xdr:row>28</xdr:row>
      <xdr:rowOff>68118</xdr:rowOff>
    </xdr:from>
    <xdr:to>
      <xdr:col>18</xdr:col>
      <xdr:colOff>219075</xdr:colOff>
      <xdr:row>41</xdr:row>
      <xdr:rowOff>182490</xdr:rowOff>
    </xdr:to>
    <xdr:cxnSp macro="">
      <xdr:nvCxnSpPr>
        <xdr:cNvPr id="48" name="Прямая со стрелкой 47">
          <a:extLst>
            <a:ext uri="{FF2B5EF4-FFF2-40B4-BE49-F238E27FC236}">
              <a16:creationId xmlns:a16="http://schemas.microsoft.com/office/drawing/2014/main" id="{609C5FB0-0AD9-42CF-93BA-59A396C461D5}"/>
            </a:ext>
          </a:extLst>
        </xdr:cNvPr>
        <xdr:cNvCxnSpPr>
          <a:stCxn id="4" idx="4"/>
          <a:endCxn id="51" idx="2"/>
        </xdr:cNvCxnSpPr>
      </xdr:nvCxnSpPr>
      <xdr:spPr>
        <a:xfrm>
          <a:off x="2735118" y="5402118"/>
          <a:ext cx="8456757" cy="259087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320388</xdr:colOff>
      <xdr:row>31</xdr:row>
      <xdr:rowOff>139629</xdr:rowOff>
    </xdr:from>
    <xdr:to>
      <xdr:col>18</xdr:col>
      <xdr:colOff>219075</xdr:colOff>
      <xdr:row>41</xdr:row>
      <xdr:rowOff>182490</xdr:rowOff>
    </xdr:to>
    <xdr:cxnSp macro="">
      <xdr:nvCxnSpPr>
        <xdr:cNvPr id="49" name="Прямая со стрелкой 48">
          <a:extLst>
            <a:ext uri="{FF2B5EF4-FFF2-40B4-BE49-F238E27FC236}">
              <a16:creationId xmlns:a16="http://schemas.microsoft.com/office/drawing/2014/main" id="{677F4B99-E9F7-487D-AA82-79E4315FADC2}"/>
            </a:ext>
          </a:extLst>
        </xdr:cNvPr>
        <xdr:cNvCxnSpPr>
          <a:stCxn id="34" idx="6"/>
          <a:endCxn id="51" idx="2"/>
        </xdr:cNvCxnSpPr>
      </xdr:nvCxnSpPr>
      <xdr:spPr>
        <a:xfrm>
          <a:off x="8245188" y="6045129"/>
          <a:ext cx="2946687" cy="194786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198043</xdr:colOff>
      <xdr:row>20</xdr:row>
      <xdr:rowOff>80050</xdr:rowOff>
    </xdr:from>
    <xdr:to>
      <xdr:col>18</xdr:col>
      <xdr:colOff>219075</xdr:colOff>
      <xdr:row>41</xdr:row>
      <xdr:rowOff>182490</xdr:rowOff>
    </xdr:to>
    <xdr:cxnSp macro="">
      <xdr:nvCxnSpPr>
        <xdr:cNvPr id="50" name="Прямая со стрелкой 49">
          <a:extLst>
            <a:ext uri="{FF2B5EF4-FFF2-40B4-BE49-F238E27FC236}">
              <a16:creationId xmlns:a16="http://schemas.microsoft.com/office/drawing/2014/main" id="{A5EBA254-156E-4978-85C4-D86F0CD002F2}"/>
            </a:ext>
          </a:extLst>
        </xdr:cNvPr>
        <xdr:cNvCxnSpPr>
          <a:stCxn id="30" idx="5"/>
          <a:endCxn id="51" idx="2"/>
        </xdr:cNvCxnSpPr>
      </xdr:nvCxnSpPr>
      <xdr:spPr>
        <a:xfrm>
          <a:off x="8122843" y="3890050"/>
          <a:ext cx="3069032" cy="410294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219075</xdr:colOff>
      <xdr:row>40</xdr:row>
      <xdr:rowOff>26193</xdr:rowOff>
    </xdr:from>
    <xdr:to>
      <xdr:col>19</xdr:col>
      <xdr:colOff>282286</xdr:colOff>
      <xdr:row>43</xdr:row>
      <xdr:rowOff>148286</xdr:rowOff>
    </xdr:to>
    <xdr:sp macro="" textlink="">
      <xdr:nvSpPr>
        <xdr:cNvPr id="51" name="Овал 50">
          <a:extLst>
            <a:ext uri="{FF2B5EF4-FFF2-40B4-BE49-F238E27FC236}">
              <a16:creationId xmlns:a16="http://schemas.microsoft.com/office/drawing/2014/main" id="{6393482A-12CC-44D8-9E05-F8701B540B6E}"/>
            </a:ext>
          </a:extLst>
        </xdr:cNvPr>
        <xdr:cNvSpPr/>
      </xdr:nvSpPr>
      <xdr:spPr>
        <a:xfrm>
          <a:off x="11191875" y="7646193"/>
          <a:ext cx="67281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12</a:t>
          </a:r>
        </a:p>
      </xdr:txBody>
    </xdr:sp>
    <xdr:clientData/>
  </xdr:twoCellAnchor>
  <xdr:twoCellAnchor>
    <xdr:from>
      <xdr:col>19</xdr:col>
      <xdr:colOff>282286</xdr:colOff>
      <xdr:row>37</xdr:row>
      <xdr:rowOff>85653</xdr:rowOff>
    </xdr:from>
    <xdr:to>
      <xdr:col>23</xdr:col>
      <xdr:colOff>530226</xdr:colOff>
      <xdr:row>41</xdr:row>
      <xdr:rowOff>182490</xdr:rowOff>
    </xdr:to>
    <xdr:cxnSp macro="">
      <xdr:nvCxnSpPr>
        <xdr:cNvPr id="52" name="Прямая со стрелкой 51">
          <a:extLst>
            <a:ext uri="{FF2B5EF4-FFF2-40B4-BE49-F238E27FC236}">
              <a16:creationId xmlns:a16="http://schemas.microsoft.com/office/drawing/2014/main" id="{211E19F1-86C2-4B0E-8CCE-A51287C9EA66}"/>
            </a:ext>
          </a:extLst>
        </xdr:cNvPr>
        <xdr:cNvCxnSpPr>
          <a:cxnSpLocks/>
          <a:stCxn id="51" idx="6"/>
          <a:endCxn id="55" idx="2"/>
        </xdr:cNvCxnSpPr>
      </xdr:nvCxnSpPr>
      <xdr:spPr>
        <a:xfrm flipV="1">
          <a:off x="11864686" y="7134153"/>
          <a:ext cx="2686340" cy="8588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114300</xdr:colOff>
      <xdr:row>38</xdr:row>
      <xdr:rowOff>57149</xdr:rowOff>
    </xdr:from>
    <xdr:to>
      <xdr:col>21</xdr:col>
      <xdr:colOff>76200</xdr:colOff>
      <xdr:row>40</xdr:row>
      <xdr:rowOff>15874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F8B5A77-EE6F-4F96-A3D1-C63C6E3F5F6C}"/>
            </a:ext>
          </a:extLst>
        </xdr:cNvPr>
        <xdr:cNvSpPr txBox="1"/>
      </xdr:nvSpPr>
      <xdr:spPr>
        <a:xfrm>
          <a:off x="12179300" y="7296149"/>
          <a:ext cx="565150" cy="339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П 8</a:t>
          </a:r>
          <a:endParaRPr lang="ru-RU" sz="1100"/>
        </a:p>
      </xdr:txBody>
    </xdr:sp>
    <xdr:clientData/>
  </xdr:twoCellAnchor>
  <xdr:twoCellAnchor>
    <xdr:from>
      <xdr:col>23</xdr:col>
      <xdr:colOff>530226</xdr:colOff>
      <xdr:row>35</xdr:row>
      <xdr:rowOff>119856</xdr:rowOff>
    </xdr:from>
    <xdr:to>
      <xdr:col>24</xdr:col>
      <xdr:colOff>593437</xdr:colOff>
      <xdr:row>39</xdr:row>
      <xdr:rowOff>51449</xdr:rowOff>
    </xdr:to>
    <xdr:sp macro="" textlink="">
      <xdr:nvSpPr>
        <xdr:cNvPr id="55" name="Овал 54">
          <a:extLst>
            <a:ext uri="{FF2B5EF4-FFF2-40B4-BE49-F238E27FC236}">
              <a16:creationId xmlns:a16="http://schemas.microsoft.com/office/drawing/2014/main" id="{D53DF38A-6735-4E9E-A5D0-98FD21943AFE}"/>
            </a:ext>
          </a:extLst>
        </xdr:cNvPr>
        <xdr:cNvSpPr/>
      </xdr:nvSpPr>
      <xdr:spPr>
        <a:xfrm>
          <a:off x="14551026" y="6787356"/>
          <a:ext cx="67281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13</a:t>
          </a:r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587376</xdr:colOff>
      <xdr:row>9</xdr:row>
      <xdr:rowOff>149338</xdr:rowOff>
    </xdr:from>
    <xdr:to>
      <xdr:col>8</xdr:col>
      <xdr:colOff>40987</xdr:colOff>
      <xdr:row>13</xdr:row>
      <xdr:rowOff>80931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BC52FE3C-4682-471F-8C2D-C5DC87E0298E}"/>
            </a:ext>
          </a:extLst>
        </xdr:cNvPr>
        <xdr:cNvSpPr/>
      </xdr:nvSpPr>
      <xdr:spPr>
        <a:xfrm>
          <a:off x="4762501" y="1895588"/>
          <a:ext cx="66011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1</a:t>
          </a:r>
        </a:p>
      </xdr:txBody>
    </xdr:sp>
    <xdr:clientData/>
  </xdr:twoCellAnchor>
  <xdr:twoCellAnchor>
    <xdr:from>
      <xdr:col>10</xdr:col>
      <xdr:colOff>26989</xdr:colOff>
      <xdr:row>1</xdr:row>
      <xdr:rowOff>29482</xdr:rowOff>
    </xdr:from>
    <xdr:to>
      <xdr:col>10</xdr:col>
      <xdr:colOff>687100</xdr:colOff>
      <xdr:row>4</xdr:row>
      <xdr:rowOff>113475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91DA9D59-958F-49B2-BDCD-817508CFFBD4}"/>
            </a:ext>
          </a:extLst>
        </xdr:cNvPr>
        <xdr:cNvSpPr/>
      </xdr:nvSpPr>
      <xdr:spPr>
        <a:xfrm>
          <a:off x="6615114" y="219982"/>
          <a:ext cx="660111" cy="68724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2</a:t>
          </a:r>
        </a:p>
      </xdr:txBody>
    </xdr:sp>
    <xdr:clientData/>
  </xdr:twoCellAnchor>
  <xdr:twoCellAnchor>
    <xdr:from>
      <xdr:col>9</xdr:col>
      <xdr:colOff>260351</xdr:colOff>
      <xdr:row>24</xdr:row>
      <xdr:rowOff>15988</xdr:rowOff>
    </xdr:from>
    <xdr:to>
      <xdr:col>10</xdr:col>
      <xdr:colOff>301337</xdr:colOff>
      <xdr:row>27</xdr:row>
      <xdr:rowOff>138081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D4350B2C-C517-4B7B-96CC-F8A662620C3F}"/>
            </a:ext>
          </a:extLst>
        </xdr:cNvPr>
        <xdr:cNvSpPr/>
      </xdr:nvSpPr>
      <xdr:spPr>
        <a:xfrm>
          <a:off x="6245226" y="4619738"/>
          <a:ext cx="644236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3</a:t>
          </a:r>
        </a:p>
      </xdr:txBody>
    </xdr:sp>
    <xdr:clientData/>
  </xdr:twoCellAnchor>
  <xdr:twoCellAnchor>
    <xdr:from>
      <xdr:col>11</xdr:col>
      <xdr:colOff>65088</xdr:colOff>
      <xdr:row>10</xdr:row>
      <xdr:rowOff>125525</xdr:rowOff>
    </xdr:from>
    <xdr:to>
      <xdr:col>11</xdr:col>
      <xdr:colOff>732002</xdr:colOff>
      <xdr:row>14</xdr:row>
      <xdr:rowOff>57118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E7D908DC-F57C-49BF-9846-B330E976D1EC}"/>
            </a:ext>
          </a:extLst>
        </xdr:cNvPr>
        <xdr:cNvSpPr/>
      </xdr:nvSpPr>
      <xdr:spPr>
        <a:xfrm>
          <a:off x="7542213" y="2062275"/>
          <a:ext cx="666914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4</a:t>
          </a:r>
        </a:p>
      </xdr:txBody>
    </xdr:sp>
    <xdr:clientData/>
  </xdr:twoCellAnchor>
  <xdr:twoCellAnchor>
    <xdr:from>
      <xdr:col>11</xdr:col>
      <xdr:colOff>601664</xdr:colOff>
      <xdr:row>17</xdr:row>
      <xdr:rowOff>184263</xdr:rowOff>
    </xdr:from>
    <xdr:to>
      <xdr:col>12</xdr:col>
      <xdr:colOff>388649</xdr:colOff>
      <xdr:row>21</xdr:row>
      <xdr:rowOff>115856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CA2F1BC7-794F-4CB4-BB28-2ECCE5D3EA6B}"/>
            </a:ext>
          </a:extLst>
        </xdr:cNvPr>
        <xdr:cNvSpPr/>
      </xdr:nvSpPr>
      <xdr:spPr>
        <a:xfrm>
          <a:off x="8078789" y="3454513"/>
          <a:ext cx="660110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5</a:t>
          </a:r>
        </a:p>
      </xdr:txBody>
    </xdr:sp>
    <xdr:clientData/>
  </xdr:twoCellAnchor>
  <xdr:twoCellAnchor>
    <xdr:from>
      <xdr:col>8</xdr:col>
      <xdr:colOff>40987</xdr:colOff>
      <xdr:row>4</xdr:row>
      <xdr:rowOff>11901</xdr:rowOff>
    </xdr:from>
    <xdr:to>
      <xdr:col>10</xdr:col>
      <xdr:colOff>125520</xdr:colOff>
      <xdr:row>11</xdr:row>
      <xdr:rowOff>115135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FD01F497-DDC7-4C19-889C-640BFC38BCD7}"/>
            </a:ext>
          </a:extLst>
        </xdr:cNvPr>
        <xdr:cNvCxnSpPr>
          <a:stCxn id="2" idx="6"/>
          <a:endCxn id="3" idx="3"/>
        </xdr:cNvCxnSpPr>
      </xdr:nvCxnSpPr>
      <xdr:spPr>
        <a:xfrm flipV="1">
          <a:off x="5422612" y="805651"/>
          <a:ext cx="1291033" cy="143673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40987</xdr:colOff>
      <xdr:row>11</xdr:row>
      <xdr:rowOff>115135</xdr:rowOff>
    </xdr:from>
    <xdr:to>
      <xdr:col>9</xdr:col>
      <xdr:colOff>260351</xdr:colOff>
      <xdr:row>25</xdr:row>
      <xdr:rowOff>172285</xdr:rowOff>
    </xdr:to>
    <xdr:cxnSp macro="">
      <xdr:nvCxnSpPr>
        <xdr:cNvPr id="8" name="Прямая со стрелкой 7">
          <a:extLst>
            <a:ext uri="{FF2B5EF4-FFF2-40B4-BE49-F238E27FC236}">
              <a16:creationId xmlns:a16="http://schemas.microsoft.com/office/drawing/2014/main" id="{94C4BE21-859E-42E1-A501-9ECE96433D32}"/>
            </a:ext>
          </a:extLst>
        </xdr:cNvPr>
        <xdr:cNvCxnSpPr>
          <a:stCxn id="2" idx="6"/>
          <a:endCxn id="4" idx="2"/>
        </xdr:cNvCxnSpPr>
      </xdr:nvCxnSpPr>
      <xdr:spPr>
        <a:xfrm>
          <a:off x="5422612" y="2242385"/>
          <a:ext cx="822614" cy="27241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225426</xdr:colOff>
      <xdr:row>5</xdr:row>
      <xdr:rowOff>184263</xdr:rowOff>
    </xdr:from>
    <xdr:to>
      <xdr:col>9</xdr:col>
      <xdr:colOff>126423</xdr:colOff>
      <xdr:row>7</xdr:row>
      <xdr:rowOff>68665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338697A-F7CC-4093-A579-1DB8A82DE180}"/>
            </a:ext>
          </a:extLst>
        </xdr:cNvPr>
        <xdr:cNvSpPr txBox="1"/>
      </xdr:nvSpPr>
      <xdr:spPr>
        <a:xfrm>
          <a:off x="5607051" y="1168513"/>
          <a:ext cx="504247" cy="265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А 1</a:t>
          </a:r>
          <a:endParaRPr lang="ru-RU" sz="1100"/>
        </a:p>
      </xdr:txBody>
    </xdr:sp>
    <xdr:clientData/>
  </xdr:twoCellAnchor>
  <xdr:twoCellAnchor>
    <xdr:from>
      <xdr:col>8</xdr:col>
      <xdr:colOff>307687</xdr:colOff>
      <xdr:row>14</xdr:row>
      <xdr:rowOff>48460</xdr:rowOff>
    </xdr:from>
    <xdr:to>
      <xdr:col>9</xdr:col>
      <xdr:colOff>219076</xdr:colOff>
      <xdr:row>15</xdr:row>
      <xdr:rowOff>165213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2EA7320-81CF-41EF-8141-36E0C7BB74D3}"/>
            </a:ext>
          </a:extLst>
        </xdr:cNvPr>
        <xdr:cNvSpPr txBox="1"/>
      </xdr:nvSpPr>
      <xdr:spPr>
        <a:xfrm>
          <a:off x="5689312" y="2747210"/>
          <a:ext cx="514639" cy="3072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Б 4</a:t>
          </a:r>
          <a:endParaRPr lang="ru-RU" sz="1100"/>
        </a:p>
      </xdr:txBody>
    </xdr:sp>
    <xdr:clientData/>
  </xdr:twoCellAnchor>
  <xdr:twoCellAnchor>
    <xdr:from>
      <xdr:col>10</xdr:col>
      <xdr:colOff>250826</xdr:colOff>
      <xdr:row>16</xdr:row>
      <xdr:rowOff>84972</xdr:rowOff>
    </xdr:from>
    <xdr:to>
      <xdr:col>10</xdr:col>
      <xdr:colOff>808037</xdr:colOff>
      <xdr:row>18</xdr:row>
      <xdr:rowOff>108063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5206F4B-7BDC-428D-96C5-D9ED97C03E74}"/>
            </a:ext>
          </a:extLst>
        </xdr:cNvPr>
        <xdr:cNvSpPr txBox="1"/>
      </xdr:nvSpPr>
      <xdr:spPr>
        <a:xfrm>
          <a:off x="6838951" y="3164722"/>
          <a:ext cx="557211" cy="4040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В 5</a:t>
          </a:r>
          <a:endParaRPr lang="ru-RU" sz="1100"/>
        </a:p>
      </xdr:txBody>
    </xdr:sp>
    <xdr:clientData/>
  </xdr:twoCellAnchor>
  <xdr:twoCellAnchor>
    <xdr:from>
      <xdr:col>10</xdr:col>
      <xdr:colOff>752477</xdr:colOff>
      <xdr:row>19</xdr:row>
      <xdr:rowOff>128629</xdr:rowOff>
    </xdr:from>
    <xdr:to>
      <xdr:col>11</xdr:col>
      <xdr:colOff>391537</xdr:colOff>
      <xdr:row>21</xdr:row>
      <xdr:rowOff>69963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ED6860F-66A5-4698-BE5C-98FD70904D13}"/>
            </a:ext>
          </a:extLst>
        </xdr:cNvPr>
        <xdr:cNvSpPr txBox="1"/>
      </xdr:nvSpPr>
      <xdr:spPr>
        <a:xfrm>
          <a:off x="7340602" y="3779879"/>
          <a:ext cx="528060" cy="322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Г 3</a:t>
          </a:r>
          <a:endParaRPr lang="ru-RU" sz="1100"/>
        </a:p>
      </xdr:txBody>
    </xdr:sp>
    <xdr:clientData/>
  </xdr:twoCellAnchor>
  <xdr:twoCellAnchor>
    <xdr:from>
      <xdr:col>10</xdr:col>
      <xdr:colOff>301337</xdr:colOff>
      <xdr:row>13</xdr:row>
      <xdr:rowOff>146044</xdr:rowOff>
    </xdr:from>
    <xdr:to>
      <xdr:col>11</xdr:col>
      <xdr:colOff>156873</xdr:colOff>
      <xdr:row>25</xdr:row>
      <xdr:rowOff>172285</xdr:rowOff>
    </xdr:to>
    <xdr:cxnSp macro="">
      <xdr:nvCxnSpPr>
        <xdr:cNvPr id="13" name="Прямая со стрелкой 12">
          <a:extLst>
            <a:ext uri="{FF2B5EF4-FFF2-40B4-BE49-F238E27FC236}">
              <a16:creationId xmlns:a16="http://schemas.microsoft.com/office/drawing/2014/main" id="{068E6A34-EF8E-45B5-B8E0-45C0CA806757}"/>
            </a:ext>
          </a:extLst>
        </xdr:cNvPr>
        <xdr:cNvCxnSpPr>
          <a:stCxn id="4" idx="6"/>
          <a:endCxn id="5" idx="3"/>
        </xdr:cNvCxnSpPr>
      </xdr:nvCxnSpPr>
      <xdr:spPr>
        <a:xfrm flipV="1">
          <a:off x="6889462" y="2654294"/>
          <a:ext cx="744536" cy="23122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168275</xdr:colOff>
      <xdr:row>26</xdr:row>
      <xdr:rowOff>95364</xdr:rowOff>
    </xdr:from>
    <xdr:to>
      <xdr:col>15</xdr:col>
      <xdr:colOff>225136</xdr:colOff>
      <xdr:row>30</xdr:row>
      <xdr:rowOff>26957</xdr:rowOff>
    </xdr:to>
    <xdr:sp macro="" textlink="">
      <xdr:nvSpPr>
        <xdr:cNvPr id="14" name="Овал 13">
          <a:extLst>
            <a:ext uri="{FF2B5EF4-FFF2-40B4-BE49-F238E27FC236}">
              <a16:creationId xmlns:a16="http://schemas.microsoft.com/office/drawing/2014/main" id="{E1EEE92F-5976-4CD8-BCA2-91475A1BFF37}"/>
            </a:ext>
          </a:extLst>
        </xdr:cNvPr>
        <xdr:cNvSpPr/>
      </xdr:nvSpPr>
      <xdr:spPr>
        <a:xfrm>
          <a:off x="9661525" y="5080114"/>
          <a:ext cx="66011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7</a:t>
          </a:r>
        </a:p>
      </xdr:txBody>
    </xdr:sp>
    <xdr:clientData/>
  </xdr:twoCellAnchor>
  <xdr:twoCellAnchor>
    <xdr:from>
      <xdr:col>14</xdr:col>
      <xdr:colOff>196850</xdr:colOff>
      <xdr:row>16</xdr:row>
      <xdr:rowOff>143782</xdr:rowOff>
    </xdr:from>
    <xdr:to>
      <xdr:col>15</xdr:col>
      <xdr:colOff>253711</xdr:colOff>
      <xdr:row>20</xdr:row>
      <xdr:rowOff>75375</xdr:rowOff>
    </xdr:to>
    <xdr:sp macro="" textlink="">
      <xdr:nvSpPr>
        <xdr:cNvPr id="15" name="Овал 14">
          <a:extLst>
            <a:ext uri="{FF2B5EF4-FFF2-40B4-BE49-F238E27FC236}">
              <a16:creationId xmlns:a16="http://schemas.microsoft.com/office/drawing/2014/main" id="{4B6F03BD-9F08-4F06-B96D-6425F0CD7D90}"/>
            </a:ext>
          </a:extLst>
        </xdr:cNvPr>
        <xdr:cNvSpPr/>
      </xdr:nvSpPr>
      <xdr:spPr>
        <a:xfrm>
          <a:off x="9690100" y="3223532"/>
          <a:ext cx="66011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6</a:t>
          </a:r>
        </a:p>
      </xdr:txBody>
    </xdr:sp>
    <xdr:clientData/>
  </xdr:twoCellAnchor>
  <xdr:twoCellAnchor>
    <xdr:from>
      <xdr:col>9</xdr:col>
      <xdr:colOff>576573</xdr:colOff>
      <xdr:row>4</xdr:row>
      <xdr:rowOff>113475</xdr:rowOff>
    </xdr:from>
    <xdr:to>
      <xdr:col>10</xdr:col>
      <xdr:colOff>352282</xdr:colOff>
      <xdr:row>24</xdr:row>
      <xdr:rowOff>15988</xdr:rowOff>
    </xdr:to>
    <xdr:cxnSp macro="">
      <xdr:nvCxnSpPr>
        <xdr:cNvPr id="16" name="Прямая со стрелкой 15">
          <a:extLst>
            <a:ext uri="{FF2B5EF4-FFF2-40B4-BE49-F238E27FC236}">
              <a16:creationId xmlns:a16="http://schemas.microsoft.com/office/drawing/2014/main" id="{D6969E4A-E7D1-4AC3-B64A-0A1EE2017E56}"/>
            </a:ext>
          </a:extLst>
        </xdr:cNvPr>
        <xdr:cNvCxnSpPr>
          <a:stCxn id="3" idx="4"/>
          <a:endCxn id="4" idx="0"/>
        </xdr:cNvCxnSpPr>
      </xdr:nvCxnSpPr>
      <xdr:spPr>
        <a:xfrm flipH="1">
          <a:off x="6561448" y="907225"/>
          <a:ext cx="378959" cy="371251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517834</xdr:colOff>
      <xdr:row>11</xdr:row>
      <xdr:rowOff>177767</xdr:rowOff>
    </xdr:from>
    <xdr:to>
      <xdr:col>15</xdr:col>
      <xdr:colOff>601973</xdr:colOff>
      <xdr:row>16</xdr:row>
      <xdr:rowOff>143782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917DBF40-46E9-4B0D-B584-99CD25A2F1E3}"/>
            </a:ext>
          </a:extLst>
        </xdr:cNvPr>
        <xdr:cNvCxnSpPr>
          <a:stCxn id="27" idx="4"/>
          <a:endCxn id="15" idx="0"/>
        </xdr:cNvCxnSpPr>
      </xdr:nvCxnSpPr>
      <xdr:spPr>
        <a:xfrm flipH="1">
          <a:off x="10011084" y="2305017"/>
          <a:ext cx="687389" cy="91851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301337</xdr:colOff>
      <xdr:row>19</xdr:row>
      <xdr:rowOff>150060</xdr:rowOff>
    </xdr:from>
    <xdr:to>
      <xdr:col>11</xdr:col>
      <xdr:colOff>601664</xdr:colOff>
      <xdr:row>25</xdr:row>
      <xdr:rowOff>172285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5FEAF528-D4BF-4173-B5D0-2D5B01DDD433}"/>
            </a:ext>
          </a:extLst>
        </xdr:cNvPr>
        <xdr:cNvCxnSpPr>
          <a:stCxn id="4" idx="6"/>
          <a:endCxn id="6" idx="2"/>
        </xdr:cNvCxnSpPr>
      </xdr:nvCxnSpPr>
      <xdr:spPr>
        <a:xfrm flipV="1">
          <a:off x="6889462" y="3801310"/>
          <a:ext cx="1189327" cy="11652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640218</xdr:colOff>
      <xdr:row>13</xdr:row>
      <xdr:rowOff>146044</xdr:rowOff>
    </xdr:from>
    <xdr:to>
      <xdr:col>12</xdr:col>
      <xdr:colOff>58594</xdr:colOff>
      <xdr:row>17</xdr:row>
      <xdr:rowOff>184263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28F75E45-60AB-4C6E-ACB3-096020A3B404}"/>
            </a:ext>
          </a:extLst>
        </xdr:cNvPr>
        <xdr:cNvCxnSpPr>
          <a:stCxn id="5" idx="5"/>
          <a:endCxn id="6" idx="0"/>
        </xdr:cNvCxnSpPr>
      </xdr:nvCxnSpPr>
      <xdr:spPr>
        <a:xfrm>
          <a:off x="8117343" y="2654294"/>
          <a:ext cx="291501" cy="80021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388649</xdr:colOff>
      <xdr:row>18</xdr:row>
      <xdr:rowOff>109579</xdr:rowOff>
    </xdr:from>
    <xdr:to>
      <xdr:col>14</xdr:col>
      <xdr:colOff>196850</xdr:colOff>
      <xdr:row>19</xdr:row>
      <xdr:rowOff>150060</xdr:rowOff>
    </xdr:to>
    <xdr:cxnSp macro="">
      <xdr:nvCxnSpPr>
        <xdr:cNvPr id="20" name="Прямая со стрелкой 19">
          <a:extLst>
            <a:ext uri="{FF2B5EF4-FFF2-40B4-BE49-F238E27FC236}">
              <a16:creationId xmlns:a16="http://schemas.microsoft.com/office/drawing/2014/main" id="{3C7111ED-873A-49DF-AC1F-E5B53FFA4CB8}"/>
            </a:ext>
          </a:extLst>
        </xdr:cNvPr>
        <xdr:cNvCxnSpPr>
          <a:stCxn id="6" idx="6"/>
          <a:endCxn id="15" idx="2"/>
        </xdr:cNvCxnSpPr>
      </xdr:nvCxnSpPr>
      <xdr:spPr>
        <a:xfrm flipV="1">
          <a:off x="8738899" y="3570329"/>
          <a:ext cx="951201" cy="2309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227011</xdr:colOff>
      <xdr:row>16</xdr:row>
      <xdr:rowOff>72344</xdr:rowOff>
    </xdr:from>
    <xdr:to>
      <xdr:col>14</xdr:col>
      <xdr:colOff>139701</xdr:colOff>
      <xdr:row>17</xdr:row>
      <xdr:rowOff>165213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89C1BD-316B-4407-9374-203B84ADB299}"/>
            </a:ext>
          </a:extLst>
        </xdr:cNvPr>
        <xdr:cNvSpPr txBox="1"/>
      </xdr:nvSpPr>
      <xdr:spPr>
        <a:xfrm>
          <a:off x="9117011" y="3152094"/>
          <a:ext cx="515940" cy="2833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Д 2</a:t>
          </a:r>
          <a:endParaRPr lang="ru-RU" sz="1100"/>
        </a:p>
      </xdr:txBody>
    </xdr:sp>
    <xdr:clientData/>
  </xdr:twoCellAnchor>
  <xdr:twoCellAnchor>
    <xdr:from>
      <xdr:col>12</xdr:col>
      <xdr:colOff>388649</xdr:colOff>
      <xdr:row>19</xdr:row>
      <xdr:rowOff>150060</xdr:rowOff>
    </xdr:from>
    <xdr:to>
      <xdr:col>14</xdr:col>
      <xdr:colOff>168275</xdr:colOff>
      <xdr:row>28</xdr:row>
      <xdr:rowOff>61161</xdr:rowOff>
    </xdr:to>
    <xdr:cxnSp macro="">
      <xdr:nvCxnSpPr>
        <xdr:cNvPr id="22" name="Прямая со стрелкой 21">
          <a:extLst>
            <a:ext uri="{FF2B5EF4-FFF2-40B4-BE49-F238E27FC236}">
              <a16:creationId xmlns:a16="http://schemas.microsoft.com/office/drawing/2014/main" id="{52B02865-661B-4C18-AE3B-C22129DDB3A6}"/>
            </a:ext>
          </a:extLst>
        </xdr:cNvPr>
        <xdr:cNvCxnSpPr>
          <a:stCxn id="6" idx="6"/>
          <a:endCxn id="14" idx="2"/>
        </xdr:cNvCxnSpPr>
      </xdr:nvCxnSpPr>
      <xdr:spPr>
        <a:xfrm>
          <a:off x="8738899" y="3801310"/>
          <a:ext cx="922626" cy="16256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960</xdr:colOff>
      <xdr:row>29</xdr:row>
      <xdr:rowOff>14329</xdr:rowOff>
    </xdr:from>
    <xdr:to>
      <xdr:col>21</xdr:col>
      <xdr:colOff>575129</xdr:colOff>
      <xdr:row>30</xdr:row>
      <xdr:rowOff>181089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1F64FA0-ADF2-474B-BCA7-43F795A4572E}"/>
            </a:ext>
          </a:extLst>
        </xdr:cNvPr>
        <xdr:cNvSpPr txBox="1"/>
      </xdr:nvSpPr>
      <xdr:spPr>
        <a:xfrm>
          <a:off x="13716960" y="5570579"/>
          <a:ext cx="574169" cy="357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О 6</a:t>
          </a:r>
          <a:endParaRPr lang="ru-RU" sz="1100"/>
        </a:p>
      </xdr:txBody>
    </xdr:sp>
    <xdr:clientData/>
  </xdr:twoCellAnchor>
  <xdr:twoCellAnchor>
    <xdr:from>
      <xdr:col>12</xdr:col>
      <xdr:colOff>388649</xdr:colOff>
      <xdr:row>19</xdr:row>
      <xdr:rowOff>150060</xdr:rowOff>
    </xdr:from>
    <xdr:to>
      <xdr:col>28</xdr:col>
      <xdr:colOff>200027</xdr:colOff>
      <xdr:row>36</xdr:row>
      <xdr:rowOff>155616</xdr:rowOff>
    </xdr:to>
    <xdr:cxnSp macro="">
      <xdr:nvCxnSpPr>
        <xdr:cNvPr id="24" name="Прямая со стрелкой 23">
          <a:extLst>
            <a:ext uri="{FF2B5EF4-FFF2-40B4-BE49-F238E27FC236}">
              <a16:creationId xmlns:a16="http://schemas.microsoft.com/office/drawing/2014/main" id="{7A5AE964-1B73-46C0-9659-09F0180D5EC8}"/>
            </a:ext>
          </a:extLst>
        </xdr:cNvPr>
        <xdr:cNvCxnSpPr>
          <a:cxnSpLocks/>
          <a:stCxn id="6" idx="6"/>
          <a:endCxn id="51" idx="2"/>
        </xdr:cNvCxnSpPr>
      </xdr:nvCxnSpPr>
      <xdr:spPr>
        <a:xfrm>
          <a:off x="8738899" y="3801310"/>
          <a:ext cx="9399878" cy="324405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298450</xdr:colOff>
      <xdr:row>23</xdr:row>
      <xdr:rowOff>62820</xdr:rowOff>
    </xdr:from>
    <xdr:to>
      <xdr:col>13</xdr:col>
      <xdr:colOff>310229</xdr:colOff>
      <xdr:row>24</xdr:row>
      <xdr:rowOff>165213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FF7D735-F3B3-473A-BA25-49632F32601E}"/>
            </a:ext>
          </a:extLst>
        </xdr:cNvPr>
        <xdr:cNvSpPr txBox="1"/>
      </xdr:nvSpPr>
      <xdr:spPr>
        <a:xfrm>
          <a:off x="8648700" y="4476070"/>
          <a:ext cx="551529" cy="292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Е</a:t>
          </a:r>
          <a:r>
            <a:rPr lang="ru-RU" sz="1800" baseline="0"/>
            <a:t> 4</a:t>
          </a:r>
          <a:endParaRPr lang="ru-RU" sz="1100"/>
        </a:p>
      </xdr:txBody>
    </xdr:sp>
    <xdr:clientData/>
  </xdr:twoCellAnchor>
  <xdr:twoCellAnchor>
    <xdr:from>
      <xdr:col>12</xdr:col>
      <xdr:colOff>388649</xdr:colOff>
      <xdr:row>10</xdr:row>
      <xdr:rowOff>21471</xdr:rowOff>
    </xdr:from>
    <xdr:to>
      <xdr:col>15</xdr:col>
      <xdr:colOff>280988</xdr:colOff>
      <xdr:row>19</xdr:row>
      <xdr:rowOff>150060</xdr:rowOff>
    </xdr:to>
    <xdr:cxnSp macro="">
      <xdr:nvCxnSpPr>
        <xdr:cNvPr id="26" name="Прямая со стрелкой 25">
          <a:extLst>
            <a:ext uri="{FF2B5EF4-FFF2-40B4-BE49-F238E27FC236}">
              <a16:creationId xmlns:a16="http://schemas.microsoft.com/office/drawing/2014/main" id="{39CD8F32-3116-4659-96F7-8B64F8954124}"/>
            </a:ext>
          </a:extLst>
        </xdr:cNvPr>
        <xdr:cNvCxnSpPr>
          <a:stCxn id="6" idx="6"/>
          <a:endCxn id="27" idx="2"/>
        </xdr:cNvCxnSpPr>
      </xdr:nvCxnSpPr>
      <xdr:spPr>
        <a:xfrm flipV="1">
          <a:off x="8738899" y="1958221"/>
          <a:ext cx="1638589" cy="184308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280988</xdr:colOff>
      <xdr:row>8</xdr:row>
      <xdr:rowOff>55674</xdr:rowOff>
    </xdr:from>
    <xdr:to>
      <xdr:col>16</xdr:col>
      <xdr:colOff>337849</xdr:colOff>
      <xdr:row>11</xdr:row>
      <xdr:rowOff>177767</xdr:rowOff>
    </xdr:to>
    <xdr:sp macro="" textlink="">
      <xdr:nvSpPr>
        <xdr:cNvPr id="27" name="Овал 26">
          <a:extLst>
            <a:ext uri="{FF2B5EF4-FFF2-40B4-BE49-F238E27FC236}">
              <a16:creationId xmlns:a16="http://schemas.microsoft.com/office/drawing/2014/main" id="{0E00267D-18EC-4E2C-A032-C2651F228BFC}"/>
            </a:ext>
          </a:extLst>
        </xdr:cNvPr>
        <xdr:cNvSpPr/>
      </xdr:nvSpPr>
      <xdr:spPr>
        <a:xfrm>
          <a:off x="10377488" y="1611424"/>
          <a:ext cx="66011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8</a:t>
          </a:r>
        </a:p>
      </xdr:txBody>
    </xdr:sp>
    <xdr:clientData/>
  </xdr:twoCellAnchor>
  <xdr:twoCellAnchor>
    <xdr:from>
      <xdr:col>13</xdr:col>
      <xdr:colOff>530681</xdr:colOff>
      <xdr:row>10</xdr:row>
      <xdr:rowOff>36624</xdr:rowOff>
    </xdr:from>
    <xdr:to>
      <xdr:col>14</xdr:col>
      <xdr:colOff>476250</xdr:colOff>
      <xdr:row>11</xdr:row>
      <xdr:rowOff>165213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0A46F5A-35A8-4611-A007-1F76B5F8EDD5}"/>
            </a:ext>
          </a:extLst>
        </xdr:cNvPr>
        <xdr:cNvSpPr txBox="1"/>
      </xdr:nvSpPr>
      <xdr:spPr>
        <a:xfrm>
          <a:off x="9420681" y="1973374"/>
          <a:ext cx="548819" cy="3190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Ж 4</a:t>
          </a:r>
          <a:endParaRPr lang="ru-RU" sz="1100"/>
        </a:p>
      </xdr:txBody>
    </xdr:sp>
    <xdr:clientData/>
  </xdr:twoCellAnchor>
  <xdr:twoCellAnchor>
    <xdr:from>
      <xdr:col>16</xdr:col>
      <xdr:colOff>573542</xdr:colOff>
      <xdr:row>16</xdr:row>
      <xdr:rowOff>129494</xdr:rowOff>
    </xdr:from>
    <xdr:to>
      <xdr:col>18</xdr:col>
      <xdr:colOff>27154</xdr:colOff>
      <xdr:row>20</xdr:row>
      <xdr:rowOff>61087</xdr:rowOff>
    </xdr:to>
    <xdr:sp macro="" textlink="">
      <xdr:nvSpPr>
        <xdr:cNvPr id="29" name="Овал 28">
          <a:extLst>
            <a:ext uri="{FF2B5EF4-FFF2-40B4-BE49-F238E27FC236}">
              <a16:creationId xmlns:a16="http://schemas.microsoft.com/office/drawing/2014/main" id="{EC4440E9-132B-4B59-A6DC-0A39AEB1A14F}"/>
            </a:ext>
          </a:extLst>
        </xdr:cNvPr>
        <xdr:cNvSpPr/>
      </xdr:nvSpPr>
      <xdr:spPr>
        <a:xfrm>
          <a:off x="11273292" y="3209244"/>
          <a:ext cx="660112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9</a:t>
          </a:r>
        </a:p>
      </xdr:txBody>
    </xdr:sp>
    <xdr:clientData/>
  </xdr:twoCellAnchor>
  <xdr:twoCellAnchor>
    <xdr:from>
      <xdr:col>15</xdr:col>
      <xdr:colOff>253711</xdr:colOff>
      <xdr:row>18</xdr:row>
      <xdr:rowOff>95291</xdr:rowOff>
    </xdr:from>
    <xdr:to>
      <xdr:col>16</xdr:col>
      <xdr:colOff>573542</xdr:colOff>
      <xdr:row>18</xdr:row>
      <xdr:rowOff>109579</xdr:rowOff>
    </xdr:to>
    <xdr:cxnSp macro="">
      <xdr:nvCxnSpPr>
        <xdr:cNvPr id="30" name="Прямая со стрелкой 29">
          <a:extLst>
            <a:ext uri="{FF2B5EF4-FFF2-40B4-BE49-F238E27FC236}">
              <a16:creationId xmlns:a16="http://schemas.microsoft.com/office/drawing/2014/main" id="{B08D58FE-FF12-465D-B586-B0DE9FAD1F85}"/>
            </a:ext>
          </a:extLst>
        </xdr:cNvPr>
        <xdr:cNvCxnSpPr>
          <a:stCxn id="15" idx="6"/>
          <a:endCxn id="29" idx="2"/>
        </xdr:cNvCxnSpPr>
      </xdr:nvCxnSpPr>
      <xdr:spPr>
        <a:xfrm flipV="1">
          <a:off x="10350211" y="3556041"/>
          <a:ext cx="923081" cy="142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556080</xdr:colOff>
      <xdr:row>16</xdr:row>
      <xdr:rowOff>129494</xdr:rowOff>
    </xdr:from>
    <xdr:to>
      <xdr:col>16</xdr:col>
      <xdr:colOff>463551</xdr:colOff>
      <xdr:row>18</xdr:row>
      <xdr:rowOff>31863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6B30174-C18D-4CE1-BCD5-D754F950CFCB}"/>
            </a:ext>
          </a:extLst>
        </xdr:cNvPr>
        <xdr:cNvSpPr txBox="1"/>
      </xdr:nvSpPr>
      <xdr:spPr>
        <a:xfrm>
          <a:off x="10652580" y="3209244"/>
          <a:ext cx="510721" cy="2833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З</a:t>
          </a:r>
          <a:r>
            <a:rPr lang="ru-RU" sz="1800" baseline="0"/>
            <a:t> 2</a:t>
          </a:r>
          <a:endParaRPr lang="ru-RU" sz="1100"/>
        </a:p>
      </xdr:txBody>
    </xdr:sp>
    <xdr:clientData/>
  </xdr:twoCellAnchor>
  <xdr:twoCellAnchor>
    <xdr:from>
      <xdr:col>14</xdr:col>
      <xdr:colOff>501506</xdr:colOff>
      <xdr:row>20</xdr:row>
      <xdr:rowOff>75375</xdr:rowOff>
    </xdr:from>
    <xdr:to>
      <xdr:col>14</xdr:col>
      <xdr:colOff>521009</xdr:colOff>
      <xdr:row>26</xdr:row>
      <xdr:rowOff>95364</xdr:rowOff>
    </xdr:to>
    <xdr:cxnSp macro="">
      <xdr:nvCxnSpPr>
        <xdr:cNvPr id="32" name="Прямая со стрелкой 31">
          <a:extLst>
            <a:ext uri="{FF2B5EF4-FFF2-40B4-BE49-F238E27FC236}">
              <a16:creationId xmlns:a16="http://schemas.microsoft.com/office/drawing/2014/main" id="{5A7E23AA-FF2B-4BD8-ABCC-74F8B065EB92}"/>
            </a:ext>
          </a:extLst>
        </xdr:cNvPr>
        <xdr:cNvCxnSpPr>
          <a:stCxn id="14" idx="0"/>
          <a:endCxn id="15" idx="4"/>
        </xdr:cNvCxnSpPr>
      </xdr:nvCxnSpPr>
      <xdr:spPr>
        <a:xfrm flipV="1">
          <a:off x="9994756" y="3917125"/>
          <a:ext cx="19503" cy="116298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597356</xdr:colOff>
      <xdr:row>29</xdr:row>
      <xdr:rowOff>53295</xdr:rowOff>
    </xdr:from>
    <xdr:to>
      <xdr:col>18</xdr:col>
      <xdr:colOff>50968</xdr:colOff>
      <xdr:row>32</xdr:row>
      <xdr:rowOff>175388</xdr:rowOff>
    </xdr:to>
    <xdr:sp macro="" textlink="">
      <xdr:nvSpPr>
        <xdr:cNvPr id="33" name="Овал 32">
          <a:extLst>
            <a:ext uri="{FF2B5EF4-FFF2-40B4-BE49-F238E27FC236}">
              <a16:creationId xmlns:a16="http://schemas.microsoft.com/office/drawing/2014/main" id="{4455CCDD-AF0D-4A59-B3F3-5450F2131C67}"/>
            </a:ext>
          </a:extLst>
        </xdr:cNvPr>
        <xdr:cNvSpPr/>
      </xdr:nvSpPr>
      <xdr:spPr>
        <a:xfrm>
          <a:off x="11297106" y="5609545"/>
          <a:ext cx="660112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10</a:t>
          </a:r>
        </a:p>
      </xdr:txBody>
    </xdr:sp>
    <xdr:clientData/>
  </xdr:twoCellAnchor>
  <xdr:twoCellAnchor>
    <xdr:from>
      <xdr:col>15</xdr:col>
      <xdr:colOff>253711</xdr:colOff>
      <xdr:row>18</xdr:row>
      <xdr:rowOff>109579</xdr:rowOff>
    </xdr:from>
    <xdr:to>
      <xdr:col>17</xdr:col>
      <xdr:colOff>333234</xdr:colOff>
      <xdr:row>29</xdr:row>
      <xdr:rowOff>53295</xdr:rowOff>
    </xdr:to>
    <xdr:cxnSp macro="">
      <xdr:nvCxnSpPr>
        <xdr:cNvPr id="34" name="Прямая со стрелкой 33">
          <a:extLst>
            <a:ext uri="{FF2B5EF4-FFF2-40B4-BE49-F238E27FC236}">
              <a16:creationId xmlns:a16="http://schemas.microsoft.com/office/drawing/2014/main" id="{8E8D2677-FE95-4438-8049-16DB6FAB93D1}"/>
            </a:ext>
          </a:extLst>
        </xdr:cNvPr>
        <xdr:cNvCxnSpPr>
          <a:stCxn id="15" idx="6"/>
          <a:endCxn id="33" idx="0"/>
        </xdr:cNvCxnSpPr>
      </xdr:nvCxnSpPr>
      <xdr:spPr>
        <a:xfrm>
          <a:off x="10350211" y="3570329"/>
          <a:ext cx="1286023" cy="203921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567988</xdr:colOff>
      <xdr:row>26</xdr:row>
      <xdr:rowOff>117588</xdr:rowOff>
    </xdr:from>
    <xdr:to>
      <xdr:col>16</xdr:col>
      <xdr:colOff>530679</xdr:colOff>
      <xdr:row>28</xdr:row>
      <xdr:rowOff>12813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A483956-7782-42F6-B9F1-8C740519D819}"/>
            </a:ext>
          </a:extLst>
        </xdr:cNvPr>
        <xdr:cNvSpPr txBox="1"/>
      </xdr:nvSpPr>
      <xdr:spPr>
        <a:xfrm>
          <a:off x="10664488" y="5102338"/>
          <a:ext cx="565941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И 3</a:t>
          </a:r>
          <a:endParaRPr lang="ru-RU" sz="1100"/>
        </a:p>
      </xdr:txBody>
    </xdr:sp>
    <xdr:clientData/>
  </xdr:twoCellAnchor>
  <xdr:twoCellAnchor>
    <xdr:from>
      <xdr:col>17</xdr:col>
      <xdr:colOff>309420</xdr:colOff>
      <xdr:row>20</xdr:row>
      <xdr:rowOff>61087</xdr:rowOff>
    </xdr:from>
    <xdr:to>
      <xdr:col>17</xdr:col>
      <xdr:colOff>333234</xdr:colOff>
      <xdr:row>29</xdr:row>
      <xdr:rowOff>53295</xdr:rowOff>
    </xdr:to>
    <xdr:cxnSp macro="">
      <xdr:nvCxnSpPr>
        <xdr:cNvPr id="36" name="Прямая со стрелкой 35">
          <a:extLst>
            <a:ext uri="{FF2B5EF4-FFF2-40B4-BE49-F238E27FC236}">
              <a16:creationId xmlns:a16="http://schemas.microsoft.com/office/drawing/2014/main" id="{903B6FE1-29CE-43CB-A539-4A53F18F97B3}"/>
            </a:ext>
          </a:extLst>
        </xdr:cNvPr>
        <xdr:cNvCxnSpPr>
          <a:stCxn id="33" idx="0"/>
          <a:endCxn id="29" idx="4"/>
        </xdr:cNvCxnSpPr>
      </xdr:nvCxnSpPr>
      <xdr:spPr>
        <a:xfrm flipH="1" flipV="1">
          <a:off x="11612420" y="3902837"/>
          <a:ext cx="23814" cy="170670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231775</xdr:colOff>
      <xdr:row>16</xdr:row>
      <xdr:rowOff>139019</xdr:rowOff>
    </xdr:from>
    <xdr:to>
      <xdr:col>20</xdr:col>
      <xdr:colOff>288638</xdr:colOff>
      <xdr:row>20</xdr:row>
      <xdr:rowOff>70612</xdr:rowOff>
    </xdr:to>
    <xdr:sp macro="" textlink="">
      <xdr:nvSpPr>
        <xdr:cNvPr id="37" name="Овал 36">
          <a:extLst>
            <a:ext uri="{FF2B5EF4-FFF2-40B4-BE49-F238E27FC236}">
              <a16:creationId xmlns:a16="http://schemas.microsoft.com/office/drawing/2014/main" id="{16D078BD-228B-44F6-A59A-C464D5C4A9A5}"/>
            </a:ext>
          </a:extLst>
        </xdr:cNvPr>
        <xdr:cNvSpPr/>
      </xdr:nvSpPr>
      <xdr:spPr>
        <a:xfrm>
          <a:off x="12741275" y="3218769"/>
          <a:ext cx="660113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11</a:t>
          </a:r>
        </a:p>
      </xdr:txBody>
    </xdr:sp>
    <xdr:clientData/>
  </xdr:twoCellAnchor>
  <xdr:twoCellAnchor>
    <xdr:from>
      <xdr:col>18</xdr:col>
      <xdr:colOff>27154</xdr:colOff>
      <xdr:row>18</xdr:row>
      <xdr:rowOff>95291</xdr:rowOff>
    </xdr:from>
    <xdr:to>
      <xdr:col>19</xdr:col>
      <xdr:colOff>231775</xdr:colOff>
      <xdr:row>18</xdr:row>
      <xdr:rowOff>104816</xdr:rowOff>
    </xdr:to>
    <xdr:cxnSp macro="">
      <xdr:nvCxnSpPr>
        <xdr:cNvPr id="38" name="Прямая со стрелкой 37">
          <a:extLst>
            <a:ext uri="{FF2B5EF4-FFF2-40B4-BE49-F238E27FC236}">
              <a16:creationId xmlns:a16="http://schemas.microsoft.com/office/drawing/2014/main" id="{6312C9D0-52D0-4331-BA6C-BB3D61BDF3BB}"/>
            </a:ext>
          </a:extLst>
        </xdr:cNvPr>
        <xdr:cNvCxnSpPr>
          <a:stCxn id="29" idx="6"/>
          <a:endCxn id="37" idx="2"/>
        </xdr:cNvCxnSpPr>
      </xdr:nvCxnSpPr>
      <xdr:spPr>
        <a:xfrm>
          <a:off x="11933404" y="3556041"/>
          <a:ext cx="807871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257175</xdr:colOff>
      <xdr:row>16</xdr:row>
      <xdr:rowOff>117587</xdr:rowOff>
    </xdr:from>
    <xdr:to>
      <xdr:col>19</xdr:col>
      <xdr:colOff>146049</xdr:colOff>
      <xdr:row>18</xdr:row>
      <xdr:rowOff>69962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5E0B2F6-9C44-4005-BF07-C94AAF3546DC}"/>
            </a:ext>
          </a:extLst>
        </xdr:cNvPr>
        <xdr:cNvSpPr txBox="1"/>
      </xdr:nvSpPr>
      <xdr:spPr>
        <a:xfrm>
          <a:off x="12163425" y="3197337"/>
          <a:ext cx="492124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К 3</a:t>
          </a:r>
          <a:endParaRPr lang="ru-RU" sz="1100"/>
        </a:p>
      </xdr:txBody>
    </xdr:sp>
    <xdr:clientData/>
  </xdr:twoCellAnchor>
  <xdr:twoCellAnchor>
    <xdr:from>
      <xdr:col>20</xdr:col>
      <xdr:colOff>288638</xdr:colOff>
      <xdr:row>18</xdr:row>
      <xdr:rowOff>104816</xdr:rowOff>
    </xdr:from>
    <xdr:to>
      <xdr:col>28</xdr:col>
      <xdr:colOff>200027</xdr:colOff>
      <xdr:row>36</xdr:row>
      <xdr:rowOff>155616</xdr:rowOff>
    </xdr:to>
    <xdr:cxnSp macro="">
      <xdr:nvCxnSpPr>
        <xdr:cNvPr id="40" name="Прямая со стрелкой 39">
          <a:extLst>
            <a:ext uri="{FF2B5EF4-FFF2-40B4-BE49-F238E27FC236}">
              <a16:creationId xmlns:a16="http://schemas.microsoft.com/office/drawing/2014/main" id="{27E543C7-03C7-43E1-B367-8FA1584ED01B}"/>
            </a:ext>
          </a:extLst>
        </xdr:cNvPr>
        <xdr:cNvCxnSpPr>
          <a:cxnSpLocks/>
          <a:stCxn id="37" idx="6"/>
          <a:endCxn id="51" idx="2"/>
        </xdr:cNvCxnSpPr>
      </xdr:nvCxnSpPr>
      <xdr:spPr>
        <a:xfrm>
          <a:off x="13401388" y="3565566"/>
          <a:ext cx="4737389" cy="3479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90942</xdr:colOff>
      <xdr:row>20</xdr:row>
      <xdr:rowOff>93775</xdr:rowOff>
    </xdr:from>
    <xdr:to>
      <xdr:col>23</xdr:col>
      <xdr:colOff>41730</xdr:colOff>
      <xdr:row>22</xdr:row>
      <xdr:rowOff>50912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F2B2AE4-78C6-4E26-966E-0B26CDDC9FC5}"/>
            </a:ext>
          </a:extLst>
        </xdr:cNvPr>
        <xdr:cNvSpPr txBox="1"/>
      </xdr:nvSpPr>
      <xdr:spPr>
        <a:xfrm>
          <a:off x="14410192" y="3935525"/>
          <a:ext cx="554038" cy="3381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Л 7</a:t>
          </a:r>
          <a:endParaRPr lang="ru-RU" sz="1100"/>
        </a:p>
      </xdr:txBody>
    </xdr:sp>
    <xdr:clientData/>
  </xdr:twoCellAnchor>
  <xdr:twoCellAnchor>
    <xdr:from>
      <xdr:col>10</xdr:col>
      <xdr:colOff>687100</xdr:colOff>
      <xdr:row>2</xdr:row>
      <xdr:rowOff>147679</xdr:rowOff>
    </xdr:from>
    <xdr:to>
      <xdr:col>14</xdr:col>
      <xdr:colOff>521009</xdr:colOff>
      <xdr:row>16</xdr:row>
      <xdr:rowOff>143782</xdr:rowOff>
    </xdr:to>
    <xdr:cxnSp macro="">
      <xdr:nvCxnSpPr>
        <xdr:cNvPr id="42" name="Прямая со стрелкой 41">
          <a:extLst>
            <a:ext uri="{FF2B5EF4-FFF2-40B4-BE49-F238E27FC236}">
              <a16:creationId xmlns:a16="http://schemas.microsoft.com/office/drawing/2014/main" id="{7721EDF5-7AEF-4BF6-82AE-39EA6B1EA706}"/>
            </a:ext>
          </a:extLst>
        </xdr:cNvPr>
        <xdr:cNvCxnSpPr>
          <a:stCxn id="3" idx="6"/>
          <a:endCxn id="15" idx="0"/>
        </xdr:cNvCxnSpPr>
      </xdr:nvCxnSpPr>
      <xdr:spPr>
        <a:xfrm>
          <a:off x="7275225" y="560429"/>
          <a:ext cx="2739034" cy="2663103"/>
        </a:xfrm>
        <a:prstGeom prst="straightConnector1">
          <a:avLst/>
        </a:prstGeom>
        <a:ln>
          <a:solidFill>
            <a:srgbClr val="FF0000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253711</xdr:colOff>
      <xdr:row>18</xdr:row>
      <xdr:rowOff>109579</xdr:rowOff>
    </xdr:from>
    <xdr:to>
      <xdr:col>28</xdr:col>
      <xdr:colOff>200027</xdr:colOff>
      <xdr:row>36</xdr:row>
      <xdr:rowOff>155616</xdr:rowOff>
    </xdr:to>
    <xdr:cxnSp macro="">
      <xdr:nvCxnSpPr>
        <xdr:cNvPr id="43" name="Прямая со стрелкой 42">
          <a:extLst>
            <a:ext uri="{FF2B5EF4-FFF2-40B4-BE49-F238E27FC236}">
              <a16:creationId xmlns:a16="http://schemas.microsoft.com/office/drawing/2014/main" id="{8C02AE31-56DB-436A-B01A-FB0A45FD02A4}"/>
            </a:ext>
          </a:extLst>
        </xdr:cNvPr>
        <xdr:cNvCxnSpPr>
          <a:cxnSpLocks/>
          <a:stCxn id="15" idx="6"/>
          <a:endCxn id="51" idx="2"/>
        </xdr:cNvCxnSpPr>
      </xdr:nvCxnSpPr>
      <xdr:spPr>
        <a:xfrm>
          <a:off x="10350211" y="3570329"/>
          <a:ext cx="7788566" cy="34750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342901</xdr:colOff>
      <xdr:row>24</xdr:row>
      <xdr:rowOff>31863</xdr:rowOff>
    </xdr:from>
    <xdr:to>
      <xdr:col>21</xdr:col>
      <xdr:colOff>285751</xdr:colOff>
      <xdr:row>25</xdr:row>
      <xdr:rowOff>146163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BCDEAA2-7F12-4492-94AC-8750E1BF9176}"/>
            </a:ext>
          </a:extLst>
        </xdr:cNvPr>
        <xdr:cNvSpPr txBox="1"/>
      </xdr:nvSpPr>
      <xdr:spPr>
        <a:xfrm>
          <a:off x="13455651" y="4635613"/>
          <a:ext cx="5461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М 1</a:t>
          </a:r>
          <a:endParaRPr lang="ru-RU" sz="1100"/>
        </a:p>
      </xdr:txBody>
    </xdr:sp>
    <xdr:clientData/>
  </xdr:twoCellAnchor>
  <xdr:twoCellAnchor>
    <xdr:from>
      <xdr:col>9</xdr:col>
      <xdr:colOff>576573</xdr:colOff>
      <xdr:row>27</xdr:row>
      <xdr:rowOff>138081</xdr:rowOff>
    </xdr:from>
    <xdr:to>
      <xdr:col>22</xdr:col>
      <xdr:colOff>521155</xdr:colOff>
      <xdr:row>41</xdr:row>
      <xdr:rowOff>61953</xdr:rowOff>
    </xdr:to>
    <xdr:cxnSp macro="">
      <xdr:nvCxnSpPr>
        <xdr:cNvPr id="45" name="Прямая со стрелкой 44">
          <a:extLst>
            <a:ext uri="{FF2B5EF4-FFF2-40B4-BE49-F238E27FC236}">
              <a16:creationId xmlns:a16="http://schemas.microsoft.com/office/drawing/2014/main" id="{9C750A94-AD7A-4644-A6F8-8DC2BB111C14}"/>
            </a:ext>
          </a:extLst>
        </xdr:cNvPr>
        <xdr:cNvCxnSpPr>
          <a:stCxn id="4" idx="4"/>
          <a:endCxn id="48" idx="2"/>
        </xdr:cNvCxnSpPr>
      </xdr:nvCxnSpPr>
      <xdr:spPr>
        <a:xfrm>
          <a:off x="6561448" y="5313331"/>
          <a:ext cx="8278957" cy="259087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50968</xdr:colOff>
      <xdr:row>31</xdr:row>
      <xdr:rowOff>19092</xdr:rowOff>
    </xdr:from>
    <xdr:to>
      <xdr:col>22</xdr:col>
      <xdr:colOff>521155</xdr:colOff>
      <xdr:row>41</xdr:row>
      <xdr:rowOff>61953</xdr:rowOff>
    </xdr:to>
    <xdr:cxnSp macro="">
      <xdr:nvCxnSpPr>
        <xdr:cNvPr id="46" name="Прямая со стрелкой 45">
          <a:extLst>
            <a:ext uri="{FF2B5EF4-FFF2-40B4-BE49-F238E27FC236}">
              <a16:creationId xmlns:a16="http://schemas.microsoft.com/office/drawing/2014/main" id="{A84A5CC2-5928-48EC-9B52-FB64C82FC154}"/>
            </a:ext>
          </a:extLst>
        </xdr:cNvPr>
        <xdr:cNvCxnSpPr>
          <a:stCxn id="33" idx="6"/>
          <a:endCxn id="48" idx="2"/>
        </xdr:cNvCxnSpPr>
      </xdr:nvCxnSpPr>
      <xdr:spPr>
        <a:xfrm>
          <a:off x="11957218" y="5956342"/>
          <a:ext cx="2883187" cy="194786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531873</xdr:colOff>
      <xdr:row>19</xdr:row>
      <xdr:rowOff>150013</xdr:rowOff>
    </xdr:from>
    <xdr:to>
      <xdr:col>22</xdr:col>
      <xdr:colOff>521155</xdr:colOff>
      <xdr:row>41</xdr:row>
      <xdr:rowOff>61953</xdr:rowOff>
    </xdr:to>
    <xdr:cxnSp macro="">
      <xdr:nvCxnSpPr>
        <xdr:cNvPr id="47" name="Прямая со стрелкой 46">
          <a:extLst>
            <a:ext uri="{FF2B5EF4-FFF2-40B4-BE49-F238E27FC236}">
              <a16:creationId xmlns:a16="http://schemas.microsoft.com/office/drawing/2014/main" id="{A2B8C9CA-F5A8-412C-AE24-4ECC432E92E2}"/>
            </a:ext>
          </a:extLst>
        </xdr:cNvPr>
        <xdr:cNvCxnSpPr>
          <a:stCxn id="29" idx="5"/>
          <a:endCxn id="48" idx="2"/>
        </xdr:cNvCxnSpPr>
      </xdr:nvCxnSpPr>
      <xdr:spPr>
        <a:xfrm>
          <a:off x="11834873" y="3801263"/>
          <a:ext cx="3005532" cy="410294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521155</xdr:colOff>
      <xdr:row>39</xdr:row>
      <xdr:rowOff>96156</xdr:rowOff>
    </xdr:from>
    <xdr:to>
      <xdr:col>23</xdr:col>
      <xdr:colOff>578015</xdr:colOff>
      <xdr:row>43</xdr:row>
      <xdr:rowOff>27749</xdr:rowOff>
    </xdr:to>
    <xdr:sp macro="" textlink="">
      <xdr:nvSpPr>
        <xdr:cNvPr id="48" name="Овал 47">
          <a:extLst>
            <a:ext uri="{FF2B5EF4-FFF2-40B4-BE49-F238E27FC236}">
              <a16:creationId xmlns:a16="http://schemas.microsoft.com/office/drawing/2014/main" id="{0F5F45AD-4F50-4E64-9566-41EDA639C9E4}"/>
            </a:ext>
          </a:extLst>
        </xdr:cNvPr>
        <xdr:cNvSpPr/>
      </xdr:nvSpPr>
      <xdr:spPr>
        <a:xfrm>
          <a:off x="14840405" y="7557406"/>
          <a:ext cx="660110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12</a:t>
          </a:r>
        </a:p>
      </xdr:txBody>
    </xdr:sp>
    <xdr:clientData/>
  </xdr:twoCellAnchor>
  <xdr:twoCellAnchor>
    <xdr:from>
      <xdr:col>23</xdr:col>
      <xdr:colOff>578015</xdr:colOff>
      <xdr:row>36</xdr:row>
      <xdr:rowOff>155616</xdr:rowOff>
    </xdr:from>
    <xdr:to>
      <xdr:col>28</xdr:col>
      <xdr:colOff>200027</xdr:colOff>
      <xdr:row>41</xdr:row>
      <xdr:rowOff>61953</xdr:rowOff>
    </xdr:to>
    <xdr:cxnSp macro="">
      <xdr:nvCxnSpPr>
        <xdr:cNvPr id="49" name="Прямая со стрелкой 48">
          <a:extLst>
            <a:ext uri="{FF2B5EF4-FFF2-40B4-BE49-F238E27FC236}">
              <a16:creationId xmlns:a16="http://schemas.microsoft.com/office/drawing/2014/main" id="{67E1561A-0163-43DF-953D-297665EADA14}"/>
            </a:ext>
          </a:extLst>
        </xdr:cNvPr>
        <xdr:cNvCxnSpPr>
          <a:cxnSpLocks/>
          <a:stCxn id="48" idx="6"/>
          <a:endCxn id="51" idx="2"/>
        </xdr:cNvCxnSpPr>
      </xdr:nvCxnSpPr>
      <xdr:spPr>
        <a:xfrm flipV="1">
          <a:off x="15500515" y="7045366"/>
          <a:ext cx="2638262" cy="8588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412751</xdr:colOff>
      <xdr:row>37</xdr:row>
      <xdr:rowOff>127112</xdr:rowOff>
    </xdr:from>
    <xdr:to>
      <xdr:col>25</xdr:col>
      <xdr:colOff>368301</xdr:colOff>
      <xdr:row>39</xdr:row>
      <xdr:rowOff>85837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B93203E-65A0-4DE7-B801-573EE194E56C}"/>
            </a:ext>
          </a:extLst>
        </xdr:cNvPr>
        <xdr:cNvSpPr txBox="1"/>
      </xdr:nvSpPr>
      <xdr:spPr>
        <a:xfrm>
          <a:off x="15938501" y="7207362"/>
          <a:ext cx="558800" cy="339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П 8</a:t>
          </a:r>
          <a:endParaRPr lang="ru-RU" sz="1100"/>
        </a:p>
      </xdr:txBody>
    </xdr:sp>
    <xdr:clientData/>
  </xdr:twoCellAnchor>
  <xdr:twoCellAnchor>
    <xdr:from>
      <xdr:col>28</xdr:col>
      <xdr:colOff>200027</xdr:colOff>
      <xdr:row>34</xdr:row>
      <xdr:rowOff>189819</xdr:rowOff>
    </xdr:from>
    <xdr:to>
      <xdr:col>29</xdr:col>
      <xdr:colOff>256888</xdr:colOff>
      <xdr:row>38</xdr:row>
      <xdr:rowOff>121412</xdr:rowOff>
    </xdr:to>
    <xdr:sp macro="" textlink="">
      <xdr:nvSpPr>
        <xdr:cNvPr id="51" name="Овал 50">
          <a:extLst>
            <a:ext uri="{FF2B5EF4-FFF2-40B4-BE49-F238E27FC236}">
              <a16:creationId xmlns:a16="http://schemas.microsoft.com/office/drawing/2014/main" id="{FAB0969B-3BDA-46EA-A3DE-FAF355D3DE5E}"/>
            </a:ext>
          </a:extLst>
        </xdr:cNvPr>
        <xdr:cNvSpPr/>
      </xdr:nvSpPr>
      <xdr:spPr>
        <a:xfrm>
          <a:off x="18138777" y="6698569"/>
          <a:ext cx="66011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13</a:t>
          </a:r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</xdr:row>
      <xdr:rowOff>151606</xdr:rowOff>
    </xdr:from>
    <xdr:to>
      <xdr:col>11</xdr:col>
      <xdr:colOff>50511</xdr:colOff>
      <xdr:row>16</xdr:row>
      <xdr:rowOff>83199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4CC9969F-59C9-48BA-965C-7C0E326EA6D7}"/>
            </a:ext>
          </a:extLst>
        </xdr:cNvPr>
        <xdr:cNvSpPr/>
      </xdr:nvSpPr>
      <xdr:spPr>
        <a:xfrm>
          <a:off x="6096000" y="2437606"/>
          <a:ext cx="66011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1</a:t>
          </a:r>
        </a:p>
      </xdr:txBody>
    </xdr:sp>
    <xdr:clientData/>
  </xdr:twoCellAnchor>
  <xdr:twoCellAnchor>
    <xdr:from>
      <xdr:col>13</xdr:col>
      <xdr:colOff>23813</xdr:colOff>
      <xdr:row>4</xdr:row>
      <xdr:rowOff>0</xdr:rowOff>
    </xdr:from>
    <xdr:to>
      <xdr:col>14</xdr:col>
      <xdr:colOff>74324</xdr:colOff>
      <xdr:row>7</xdr:row>
      <xdr:rowOff>115743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3DC9EA6F-8750-4EDC-8C3F-2E7F48260B13}"/>
            </a:ext>
          </a:extLst>
        </xdr:cNvPr>
        <xdr:cNvSpPr/>
      </xdr:nvSpPr>
      <xdr:spPr>
        <a:xfrm>
          <a:off x="7948613" y="762000"/>
          <a:ext cx="660111" cy="68724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2</a:t>
          </a:r>
        </a:p>
      </xdr:txBody>
    </xdr:sp>
    <xdr:clientData/>
  </xdr:twoCellAnchor>
  <xdr:twoCellAnchor>
    <xdr:from>
      <xdr:col>12</xdr:col>
      <xdr:colOff>263525</xdr:colOff>
      <xdr:row>27</xdr:row>
      <xdr:rowOff>18256</xdr:rowOff>
    </xdr:from>
    <xdr:to>
      <xdr:col>13</xdr:col>
      <xdr:colOff>298161</xdr:colOff>
      <xdr:row>30</xdr:row>
      <xdr:rowOff>140349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29802E69-C163-4F25-856F-8A1A464A0132}"/>
            </a:ext>
          </a:extLst>
        </xdr:cNvPr>
        <xdr:cNvSpPr/>
      </xdr:nvSpPr>
      <xdr:spPr>
        <a:xfrm>
          <a:off x="7578725" y="5161756"/>
          <a:ext cx="644236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3</a:t>
          </a:r>
        </a:p>
      </xdr:txBody>
    </xdr:sp>
    <xdr:clientData/>
  </xdr:twoCellAnchor>
  <xdr:twoCellAnchor>
    <xdr:from>
      <xdr:col>14</xdr:col>
      <xdr:colOff>341312</xdr:colOff>
      <xdr:row>13</xdr:row>
      <xdr:rowOff>127793</xdr:rowOff>
    </xdr:from>
    <xdr:to>
      <xdr:col>15</xdr:col>
      <xdr:colOff>398626</xdr:colOff>
      <xdr:row>17</xdr:row>
      <xdr:rowOff>59386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FB57CC7E-278C-4135-9B76-45838D52F6F5}"/>
            </a:ext>
          </a:extLst>
        </xdr:cNvPr>
        <xdr:cNvSpPr/>
      </xdr:nvSpPr>
      <xdr:spPr>
        <a:xfrm>
          <a:off x="8875712" y="2604293"/>
          <a:ext cx="666914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4</a:t>
          </a:r>
        </a:p>
      </xdr:txBody>
    </xdr:sp>
    <xdr:clientData/>
  </xdr:twoCellAnchor>
  <xdr:twoCellAnchor>
    <xdr:from>
      <xdr:col>15</xdr:col>
      <xdr:colOff>268288</xdr:colOff>
      <xdr:row>20</xdr:row>
      <xdr:rowOff>186531</xdr:rowOff>
    </xdr:from>
    <xdr:to>
      <xdr:col>16</xdr:col>
      <xdr:colOff>318798</xdr:colOff>
      <xdr:row>24</xdr:row>
      <xdr:rowOff>118124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BAE7D38F-6273-4C96-A19F-469F02DF3E86}"/>
            </a:ext>
          </a:extLst>
        </xdr:cNvPr>
        <xdr:cNvSpPr/>
      </xdr:nvSpPr>
      <xdr:spPr>
        <a:xfrm>
          <a:off x="9412288" y="3996531"/>
          <a:ext cx="660110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5</a:t>
          </a:r>
        </a:p>
      </xdr:txBody>
    </xdr:sp>
    <xdr:clientData/>
  </xdr:twoCellAnchor>
  <xdr:twoCellAnchor>
    <xdr:from>
      <xdr:col>11</xdr:col>
      <xdr:colOff>50511</xdr:colOff>
      <xdr:row>7</xdr:row>
      <xdr:rowOff>14169</xdr:rowOff>
    </xdr:from>
    <xdr:to>
      <xdr:col>13</xdr:col>
      <xdr:colOff>122344</xdr:colOff>
      <xdr:row>14</xdr:row>
      <xdr:rowOff>117403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44FD68B1-9B11-4BE2-9D89-0AA4A9B454D0}"/>
            </a:ext>
          </a:extLst>
        </xdr:cNvPr>
        <xdr:cNvCxnSpPr>
          <a:stCxn id="2" idx="6"/>
          <a:endCxn id="3" idx="3"/>
        </xdr:cNvCxnSpPr>
      </xdr:nvCxnSpPr>
      <xdr:spPr>
        <a:xfrm flipV="1">
          <a:off x="6756111" y="1347669"/>
          <a:ext cx="1291033" cy="143673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50511</xdr:colOff>
      <xdr:row>14</xdr:row>
      <xdr:rowOff>117403</xdr:rowOff>
    </xdr:from>
    <xdr:to>
      <xdr:col>12</xdr:col>
      <xdr:colOff>263525</xdr:colOff>
      <xdr:row>28</xdr:row>
      <xdr:rowOff>174553</xdr:rowOff>
    </xdr:to>
    <xdr:cxnSp macro="">
      <xdr:nvCxnSpPr>
        <xdr:cNvPr id="8" name="Прямая со стрелкой 7">
          <a:extLst>
            <a:ext uri="{FF2B5EF4-FFF2-40B4-BE49-F238E27FC236}">
              <a16:creationId xmlns:a16="http://schemas.microsoft.com/office/drawing/2014/main" id="{08416C3D-D976-410B-8AEF-E04007B7941E}"/>
            </a:ext>
          </a:extLst>
        </xdr:cNvPr>
        <xdr:cNvCxnSpPr>
          <a:stCxn id="2" idx="6"/>
          <a:endCxn id="4" idx="2"/>
        </xdr:cNvCxnSpPr>
      </xdr:nvCxnSpPr>
      <xdr:spPr>
        <a:xfrm>
          <a:off x="6756111" y="2784403"/>
          <a:ext cx="822614" cy="27241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234950</xdr:colOff>
      <xdr:row>8</xdr:row>
      <xdr:rowOff>186531</xdr:rowOff>
    </xdr:from>
    <xdr:to>
      <xdr:col>12</xdr:col>
      <xdr:colOff>129597</xdr:colOff>
      <xdr:row>10</xdr:row>
      <xdr:rowOff>70933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BDB948F-78E4-469D-A275-CF2D6C4D23B4}"/>
            </a:ext>
          </a:extLst>
        </xdr:cNvPr>
        <xdr:cNvSpPr txBox="1"/>
      </xdr:nvSpPr>
      <xdr:spPr>
        <a:xfrm>
          <a:off x="6940550" y="1710531"/>
          <a:ext cx="504247" cy="265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А 1</a:t>
          </a:r>
          <a:endParaRPr lang="ru-RU" sz="1100"/>
        </a:p>
      </xdr:txBody>
    </xdr:sp>
    <xdr:clientData/>
  </xdr:twoCellAnchor>
  <xdr:twoCellAnchor>
    <xdr:from>
      <xdr:col>11</xdr:col>
      <xdr:colOff>317211</xdr:colOff>
      <xdr:row>17</xdr:row>
      <xdr:rowOff>50728</xdr:rowOff>
    </xdr:from>
    <xdr:to>
      <xdr:col>12</xdr:col>
      <xdr:colOff>222250</xdr:colOff>
      <xdr:row>18</xdr:row>
      <xdr:rowOff>167481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36A8F17-5001-4A1F-B8E4-0514821668C8}"/>
            </a:ext>
          </a:extLst>
        </xdr:cNvPr>
        <xdr:cNvSpPr txBox="1"/>
      </xdr:nvSpPr>
      <xdr:spPr>
        <a:xfrm>
          <a:off x="7022811" y="3289228"/>
          <a:ext cx="514639" cy="3072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Б 4</a:t>
          </a:r>
          <a:endParaRPr lang="ru-RU" sz="1100"/>
        </a:p>
      </xdr:txBody>
    </xdr:sp>
    <xdr:clientData/>
  </xdr:twoCellAnchor>
  <xdr:twoCellAnchor>
    <xdr:from>
      <xdr:col>13</xdr:col>
      <xdr:colOff>247650</xdr:colOff>
      <xdr:row>19</xdr:row>
      <xdr:rowOff>87240</xdr:rowOff>
    </xdr:from>
    <xdr:to>
      <xdr:col>14</xdr:col>
      <xdr:colOff>195261</xdr:colOff>
      <xdr:row>21</xdr:row>
      <xdr:rowOff>110331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2D26BF6-C634-47EF-BFD7-D254981382AD}"/>
            </a:ext>
          </a:extLst>
        </xdr:cNvPr>
        <xdr:cNvSpPr txBox="1"/>
      </xdr:nvSpPr>
      <xdr:spPr>
        <a:xfrm>
          <a:off x="8172450" y="3706740"/>
          <a:ext cx="557211" cy="4040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В 5</a:t>
          </a:r>
          <a:endParaRPr lang="ru-RU" sz="1100"/>
        </a:p>
      </xdr:txBody>
    </xdr:sp>
    <xdr:clientData/>
  </xdr:twoCellAnchor>
  <xdr:twoCellAnchor>
    <xdr:from>
      <xdr:col>14</xdr:col>
      <xdr:colOff>139701</xdr:colOff>
      <xdr:row>22</xdr:row>
      <xdr:rowOff>130897</xdr:rowOff>
    </xdr:from>
    <xdr:to>
      <xdr:col>15</xdr:col>
      <xdr:colOff>58161</xdr:colOff>
      <xdr:row>24</xdr:row>
      <xdr:rowOff>72231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5643C94-712C-4932-937E-18A9AAC058A2}"/>
            </a:ext>
          </a:extLst>
        </xdr:cNvPr>
        <xdr:cNvSpPr txBox="1"/>
      </xdr:nvSpPr>
      <xdr:spPr>
        <a:xfrm>
          <a:off x="8674101" y="4321897"/>
          <a:ext cx="528060" cy="322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Г 3</a:t>
          </a:r>
          <a:endParaRPr lang="ru-RU" sz="1100"/>
        </a:p>
      </xdr:txBody>
    </xdr:sp>
    <xdr:clientData/>
  </xdr:twoCellAnchor>
  <xdr:twoCellAnchor>
    <xdr:from>
      <xdr:col>13</xdr:col>
      <xdr:colOff>298161</xdr:colOff>
      <xdr:row>16</xdr:row>
      <xdr:rowOff>148312</xdr:rowOff>
    </xdr:from>
    <xdr:to>
      <xdr:col>14</xdr:col>
      <xdr:colOff>433097</xdr:colOff>
      <xdr:row>28</xdr:row>
      <xdr:rowOff>174553</xdr:rowOff>
    </xdr:to>
    <xdr:cxnSp macro="">
      <xdr:nvCxnSpPr>
        <xdr:cNvPr id="13" name="Прямая со стрелкой 12">
          <a:extLst>
            <a:ext uri="{FF2B5EF4-FFF2-40B4-BE49-F238E27FC236}">
              <a16:creationId xmlns:a16="http://schemas.microsoft.com/office/drawing/2014/main" id="{B2713E82-589D-405B-BBA0-67FE66527D50}"/>
            </a:ext>
          </a:extLst>
        </xdr:cNvPr>
        <xdr:cNvCxnSpPr>
          <a:stCxn id="4" idx="6"/>
          <a:endCxn id="5" idx="3"/>
        </xdr:cNvCxnSpPr>
      </xdr:nvCxnSpPr>
      <xdr:spPr>
        <a:xfrm flipV="1">
          <a:off x="8222961" y="3196312"/>
          <a:ext cx="744536" cy="23122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22224</xdr:colOff>
      <xdr:row>29</xdr:row>
      <xdr:rowOff>97632</xdr:rowOff>
    </xdr:from>
    <xdr:to>
      <xdr:col>19</xdr:col>
      <xdr:colOff>72735</xdr:colOff>
      <xdr:row>33</xdr:row>
      <xdr:rowOff>29225</xdr:rowOff>
    </xdr:to>
    <xdr:sp macro="" textlink="">
      <xdr:nvSpPr>
        <xdr:cNvPr id="14" name="Овал 13">
          <a:extLst>
            <a:ext uri="{FF2B5EF4-FFF2-40B4-BE49-F238E27FC236}">
              <a16:creationId xmlns:a16="http://schemas.microsoft.com/office/drawing/2014/main" id="{EEE939F4-5FFC-4E97-AD1B-449A5C0BA854}"/>
            </a:ext>
          </a:extLst>
        </xdr:cNvPr>
        <xdr:cNvSpPr/>
      </xdr:nvSpPr>
      <xdr:spPr>
        <a:xfrm>
          <a:off x="10995024" y="5622132"/>
          <a:ext cx="66011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7</a:t>
          </a:r>
        </a:p>
      </xdr:txBody>
    </xdr:sp>
    <xdr:clientData/>
  </xdr:twoCellAnchor>
  <xdr:twoCellAnchor>
    <xdr:from>
      <xdr:col>18</xdr:col>
      <xdr:colOff>50799</xdr:colOff>
      <xdr:row>19</xdr:row>
      <xdr:rowOff>146050</xdr:rowOff>
    </xdr:from>
    <xdr:to>
      <xdr:col>19</xdr:col>
      <xdr:colOff>101310</xdr:colOff>
      <xdr:row>23</xdr:row>
      <xdr:rowOff>77643</xdr:rowOff>
    </xdr:to>
    <xdr:sp macro="" textlink="">
      <xdr:nvSpPr>
        <xdr:cNvPr id="15" name="Овал 14">
          <a:extLst>
            <a:ext uri="{FF2B5EF4-FFF2-40B4-BE49-F238E27FC236}">
              <a16:creationId xmlns:a16="http://schemas.microsoft.com/office/drawing/2014/main" id="{47B3510D-3B89-4851-9E3D-382475C3D2C5}"/>
            </a:ext>
          </a:extLst>
        </xdr:cNvPr>
        <xdr:cNvSpPr/>
      </xdr:nvSpPr>
      <xdr:spPr>
        <a:xfrm>
          <a:off x="11023599" y="3765550"/>
          <a:ext cx="66011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6</a:t>
          </a:r>
        </a:p>
      </xdr:txBody>
    </xdr:sp>
    <xdr:clientData/>
  </xdr:twoCellAnchor>
  <xdr:twoCellAnchor>
    <xdr:from>
      <xdr:col>12</xdr:col>
      <xdr:colOff>579747</xdr:colOff>
      <xdr:row>7</xdr:row>
      <xdr:rowOff>115743</xdr:rowOff>
    </xdr:from>
    <xdr:to>
      <xdr:col>13</xdr:col>
      <xdr:colOff>349106</xdr:colOff>
      <xdr:row>27</xdr:row>
      <xdr:rowOff>18256</xdr:rowOff>
    </xdr:to>
    <xdr:cxnSp macro="">
      <xdr:nvCxnSpPr>
        <xdr:cNvPr id="16" name="Прямая со стрелкой 15">
          <a:extLst>
            <a:ext uri="{FF2B5EF4-FFF2-40B4-BE49-F238E27FC236}">
              <a16:creationId xmlns:a16="http://schemas.microsoft.com/office/drawing/2014/main" id="{7A631E2B-26CF-4EDE-A426-03917B8F4539}"/>
            </a:ext>
          </a:extLst>
        </xdr:cNvPr>
        <xdr:cNvCxnSpPr>
          <a:stCxn id="3" idx="4"/>
          <a:endCxn id="4" idx="0"/>
        </xdr:cNvCxnSpPr>
      </xdr:nvCxnSpPr>
      <xdr:spPr>
        <a:xfrm flipH="1">
          <a:off x="7894947" y="1449243"/>
          <a:ext cx="378959" cy="371251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371783</xdr:colOff>
      <xdr:row>14</xdr:row>
      <xdr:rowOff>180035</xdr:rowOff>
    </xdr:from>
    <xdr:to>
      <xdr:col>19</xdr:col>
      <xdr:colOff>449572</xdr:colOff>
      <xdr:row>19</xdr:row>
      <xdr:rowOff>146050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23FB4474-584B-42B9-AABF-5E755FE07D70}"/>
            </a:ext>
          </a:extLst>
        </xdr:cNvPr>
        <xdr:cNvCxnSpPr>
          <a:stCxn id="27" idx="4"/>
          <a:endCxn id="15" idx="0"/>
        </xdr:cNvCxnSpPr>
      </xdr:nvCxnSpPr>
      <xdr:spPr>
        <a:xfrm flipH="1">
          <a:off x="11344583" y="2847035"/>
          <a:ext cx="687389" cy="91851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298161</xdr:colOff>
      <xdr:row>22</xdr:row>
      <xdr:rowOff>152328</xdr:rowOff>
    </xdr:from>
    <xdr:to>
      <xdr:col>15</xdr:col>
      <xdr:colOff>268288</xdr:colOff>
      <xdr:row>28</xdr:row>
      <xdr:rowOff>174553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81EBB445-62FC-44DE-8462-B58AC48BC2CD}"/>
            </a:ext>
          </a:extLst>
        </xdr:cNvPr>
        <xdr:cNvCxnSpPr>
          <a:stCxn id="4" idx="6"/>
          <a:endCxn id="6" idx="2"/>
        </xdr:cNvCxnSpPr>
      </xdr:nvCxnSpPr>
      <xdr:spPr>
        <a:xfrm flipV="1">
          <a:off x="8222961" y="4343328"/>
          <a:ext cx="1189327" cy="11652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306842</xdr:colOff>
      <xdr:row>16</xdr:row>
      <xdr:rowOff>148312</xdr:rowOff>
    </xdr:from>
    <xdr:to>
      <xdr:col>15</xdr:col>
      <xdr:colOff>598343</xdr:colOff>
      <xdr:row>20</xdr:row>
      <xdr:rowOff>186531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49A7368C-C841-4F8A-AD1F-FF5A74E55880}"/>
            </a:ext>
          </a:extLst>
        </xdr:cNvPr>
        <xdr:cNvCxnSpPr>
          <a:stCxn id="5" idx="5"/>
          <a:endCxn id="6" idx="0"/>
        </xdr:cNvCxnSpPr>
      </xdr:nvCxnSpPr>
      <xdr:spPr>
        <a:xfrm>
          <a:off x="9450842" y="3196312"/>
          <a:ext cx="291501" cy="80021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318798</xdr:colOff>
      <xdr:row>21</xdr:row>
      <xdr:rowOff>111847</xdr:rowOff>
    </xdr:from>
    <xdr:to>
      <xdr:col>18</xdr:col>
      <xdr:colOff>50799</xdr:colOff>
      <xdr:row>22</xdr:row>
      <xdr:rowOff>152328</xdr:rowOff>
    </xdr:to>
    <xdr:cxnSp macro="">
      <xdr:nvCxnSpPr>
        <xdr:cNvPr id="20" name="Прямая со стрелкой 19">
          <a:extLst>
            <a:ext uri="{FF2B5EF4-FFF2-40B4-BE49-F238E27FC236}">
              <a16:creationId xmlns:a16="http://schemas.microsoft.com/office/drawing/2014/main" id="{55CB85EC-E8F0-4913-9FED-77D3DCD3A733}"/>
            </a:ext>
          </a:extLst>
        </xdr:cNvPr>
        <xdr:cNvCxnSpPr>
          <a:stCxn id="6" idx="6"/>
          <a:endCxn id="15" idx="2"/>
        </xdr:cNvCxnSpPr>
      </xdr:nvCxnSpPr>
      <xdr:spPr>
        <a:xfrm flipV="1">
          <a:off x="10072398" y="4112347"/>
          <a:ext cx="951201" cy="2309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87310</xdr:colOff>
      <xdr:row>19</xdr:row>
      <xdr:rowOff>74612</xdr:rowOff>
    </xdr:from>
    <xdr:to>
      <xdr:col>17</xdr:col>
      <xdr:colOff>603250</xdr:colOff>
      <xdr:row>20</xdr:row>
      <xdr:rowOff>167481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FAA077F-0BF5-4FE3-B94B-1F6916A3AAFF}"/>
            </a:ext>
          </a:extLst>
        </xdr:cNvPr>
        <xdr:cNvSpPr txBox="1"/>
      </xdr:nvSpPr>
      <xdr:spPr>
        <a:xfrm>
          <a:off x="10450510" y="3694112"/>
          <a:ext cx="515940" cy="2833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Д 2</a:t>
          </a:r>
          <a:endParaRPr lang="ru-RU" sz="1100"/>
        </a:p>
      </xdr:txBody>
    </xdr:sp>
    <xdr:clientData/>
  </xdr:twoCellAnchor>
  <xdr:twoCellAnchor>
    <xdr:from>
      <xdr:col>16</xdr:col>
      <xdr:colOff>318798</xdr:colOff>
      <xdr:row>22</xdr:row>
      <xdr:rowOff>152328</xdr:rowOff>
    </xdr:from>
    <xdr:to>
      <xdr:col>18</xdr:col>
      <xdr:colOff>22224</xdr:colOff>
      <xdr:row>31</xdr:row>
      <xdr:rowOff>63429</xdr:rowOff>
    </xdr:to>
    <xdr:cxnSp macro="">
      <xdr:nvCxnSpPr>
        <xdr:cNvPr id="22" name="Прямая со стрелкой 21">
          <a:extLst>
            <a:ext uri="{FF2B5EF4-FFF2-40B4-BE49-F238E27FC236}">
              <a16:creationId xmlns:a16="http://schemas.microsoft.com/office/drawing/2014/main" id="{C725D005-E8FC-4459-89BC-727BDD87074D}"/>
            </a:ext>
          </a:extLst>
        </xdr:cNvPr>
        <xdr:cNvCxnSpPr>
          <a:stCxn id="6" idx="6"/>
          <a:endCxn id="14" idx="2"/>
        </xdr:cNvCxnSpPr>
      </xdr:nvCxnSpPr>
      <xdr:spPr>
        <a:xfrm>
          <a:off x="10072398" y="4343328"/>
          <a:ext cx="922626" cy="16256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420059</xdr:colOff>
      <xdr:row>32</xdr:row>
      <xdr:rowOff>16597</xdr:rowOff>
    </xdr:from>
    <xdr:to>
      <xdr:col>25</xdr:col>
      <xdr:colOff>384628</xdr:colOff>
      <xdr:row>33</xdr:row>
      <xdr:rowOff>183357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06E626F-AFA7-4068-BDD6-3B6B45BB3955}"/>
            </a:ext>
          </a:extLst>
        </xdr:cNvPr>
        <xdr:cNvSpPr txBox="1"/>
      </xdr:nvSpPr>
      <xdr:spPr>
        <a:xfrm>
          <a:off x="15050459" y="6112597"/>
          <a:ext cx="574169" cy="357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О 6</a:t>
          </a:r>
          <a:endParaRPr lang="ru-RU" sz="1100"/>
        </a:p>
      </xdr:txBody>
    </xdr:sp>
    <xdr:clientData/>
  </xdr:twoCellAnchor>
  <xdr:twoCellAnchor>
    <xdr:from>
      <xdr:col>16</xdr:col>
      <xdr:colOff>318798</xdr:colOff>
      <xdr:row>22</xdr:row>
      <xdr:rowOff>152328</xdr:rowOff>
    </xdr:from>
    <xdr:to>
      <xdr:col>31</xdr:col>
      <xdr:colOff>574676</xdr:colOff>
      <xdr:row>39</xdr:row>
      <xdr:rowOff>157884</xdr:rowOff>
    </xdr:to>
    <xdr:cxnSp macro="">
      <xdr:nvCxnSpPr>
        <xdr:cNvPr id="24" name="Прямая со стрелкой 23">
          <a:extLst>
            <a:ext uri="{FF2B5EF4-FFF2-40B4-BE49-F238E27FC236}">
              <a16:creationId xmlns:a16="http://schemas.microsoft.com/office/drawing/2014/main" id="{7B3D426A-731D-4998-B986-0F988462F4E9}"/>
            </a:ext>
          </a:extLst>
        </xdr:cNvPr>
        <xdr:cNvCxnSpPr>
          <a:cxnSpLocks/>
          <a:stCxn id="6" idx="6"/>
          <a:endCxn id="51" idx="2"/>
        </xdr:cNvCxnSpPr>
      </xdr:nvCxnSpPr>
      <xdr:spPr>
        <a:xfrm>
          <a:off x="10072398" y="4343328"/>
          <a:ext cx="9399878" cy="324405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228599</xdr:colOff>
      <xdr:row>26</xdr:row>
      <xdr:rowOff>65088</xdr:rowOff>
    </xdr:from>
    <xdr:to>
      <xdr:col>17</xdr:col>
      <xdr:colOff>170528</xdr:colOff>
      <xdr:row>27</xdr:row>
      <xdr:rowOff>167481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D4386D3-DFA0-48B5-B677-762122123841}"/>
            </a:ext>
          </a:extLst>
        </xdr:cNvPr>
        <xdr:cNvSpPr txBox="1"/>
      </xdr:nvSpPr>
      <xdr:spPr>
        <a:xfrm>
          <a:off x="9982199" y="5018088"/>
          <a:ext cx="551529" cy="292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Е</a:t>
          </a:r>
          <a:r>
            <a:rPr lang="ru-RU" sz="1800" baseline="0"/>
            <a:t> 4</a:t>
          </a:r>
          <a:endParaRPr lang="ru-RU" sz="1100"/>
        </a:p>
      </xdr:txBody>
    </xdr:sp>
    <xdr:clientData/>
  </xdr:twoCellAnchor>
  <xdr:twoCellAnchor>
    <xdr:from>
      <xdr:col>16</xdr:col>
      <xdr:colOff>318798</xdr:colOff>
      <xdr:row>13</xdr:row>
      <xdr:rowOff>23739</xdr:rowOff>
    </xdr:from>
    <xdr:to>
      <xdr:col>19</xdr:col>
      <xdr:colOff>128587</xdr:colOff>
      <xdr:row>22</xdr:row>
      <xdr:rowOff>152328</xdr:rowOff>
    </xdr:to>
    <xdr:cxnSp macro="">
      <xdr:nvCxnSpPr>
        <xdr:cNvPr id="26" name="Прямая со стрелкой 25">
          <a:extLst>
            <a:ext uri="{FF2B5EF4-FFF2-40B4-BE49-F238E27FC236}">
              <a16:creationId xmlns:a16="http://schemas.microsoft.com/office/drawing/2014/main" id="{92ABF38B-C8A2-4CA3-9284-21BA6C6F981B}"/>
            </a:ext>
          </a:extLst>
        </xdr:cNvPr>
        <xdr:cNvCxnSpPr>
          <a:stCxn id="6" idx="6"/>
          <a:endCxn id="27" idx="2"/>
        </xdr:cNvCxnSpPr>
      </xdr:nvCxnSpPr>
      <xdr:spPr>
        <a:xfrm flipV="1">
          <a:off x="10072398" y="2500239"/>
          <a:ext cx="1638589" cy="184308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128587</xdr:colOff>
      <xdr:row>11</xdr:row>
      <xdr:rowOff>57942</xdr:rowOff>
    </xdr:from>
    <xdr:to>
      <xdr:col>20</xdr:col>
      <xdr:colOff>179098</xdr:colOff>
      <xdr:row>14</xdr:row>
      <xdr:rowOff>180035</xdr:rowOff>
    </xdr:to>
    <xdr:sp macro="" textlink="">
      <xdr:nvSpPr>
        <xdr:cNvPr id="27" name="Овал 26">
          <a:extLst>
            <a:ext uri="{FF2B5EF4-FFF2-40B4-BE49-F238E27FC236}">
              <a16:creationId xmlns:a16="http://schemas.microsoft.com/office/drawing/2014/main" id="{FDE5C1D5-56B6-4AB3-B667-188071A015AF}"/>
            </a:ext>
          </a:extLst>
        </xdr:cNvPr>
        <xdr:cNvSpPr/>
      </xdr:nvSpPr>
      <xdr:spPr>
        <a:xfrm>
          <a:off x="11710987" y="2153442"/>
          <a:ext cx="66011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8</a:t>
          </a:r>
        </a:p>
      </xdr:txBody>
    </xdr:sp>
    <xdr:clientData/>
  </xdr:twoCellAnchor>
  <xdr:twoCellAnchor>
    <xdr:from>
      <xdr:col>17</xdr:col>
      <xdr:colOff>390980</xdr:colOff>
      <xdr:row>13</xdr:row>
      <xdr:rowOff>38892</xdr:rowOff>
    </xdr:from>
    <xdr:to>
      <xdr:col>18</xdr:col>
      <xdr:colOff>330199</xdr:colOff>
      <xdr:row>14</xdr:row>
      <xdr:rowOff>167481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1C45E0D-0923-4D0C-BA00-780BF4290E27}"/>
            </a:ext>
          </a:extLst>
        </xdr:cNvPr>
        <xdr:cNvSpPr txBox="1"/>
      </xdr:nvSpPr>
      <xdr:spPr>
        <a:xfrm>
          <a:off x="10754180" y="2515392"/>
          <a:ext cx="548819" cy="3190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Ж 4</a:t>
          </a:r>
          <a:endParaRPr lang="ru-RU" sz="1100"/>
        </a:p>
      </xdr:txBody>
    </xdr:sp>
    <xdr:clientData/>
  </xdr:twoCellAnchor>
  <xdr:twoCellAnchor>
    <xdr:from>
      <xdr:col>20</xdr:col>
      <xdr:colOff>414791</xdr:colOff>
      <xdr:row>19</xdr:row>
      <xdr:rowOff>131762</xdr:rowOff>
    </xdr:from>
    <xdr:to>
      <xdr:col>21</xdr:col>
      <xdr:colOff>465303</xdr:colOff>
      <xdr:row>23</xdr:row>
      <xdr:rowOff>63355</xdr:rowOff>
    </xdr:to>
    <xdr:sp macro="" textlink="">
      <xdr:nvSpPr>
        <xdr:cNvPr id="29" name="Овал 28">
          <a:extLst>
            <a:ext uri="{FF2B5EF4-FFF2-40B4-BE49-F238E27FC236}">
              <a16:creationId xmlns:a16="http://schemas.microsoft.com/office/drawing/2014/main" id="{3A3B35A1-03F7-4FB3-822B-662E8B57FD0A}"/>
            </a:ext>
          </a:extLst>
        </xdr:cNvPr>
        <xdr:cNvSpPr/>
      </xdr:nvSpPr>
      <xdr:spPr>
        <a:xfrm>
          <a:off x="12606791" y="3751262"/>
          <a:ext cx="660112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9</a:t>
          </a:r>
        </a:p>
      </xdr:txBody>
    </xdr:sp>
    <xdr:clientData/>
  </xdr:twoCellAnchor>
  <xdr:twoCellAnchor>
    <xdr:from>
      <xdr:col>19</xdr:col>
      <xdr:colOff>101310</xdr:colOff>
      <xdr:row>21</xdr:row>
      <xdr:rowOff>97559</xdr:rowOff>
    </xdr:from>
    <xdr:to>
      <xdr:col>20</xdr:col>
      <xdr:colOff>414791</xdr:colOff>
      <xdr:row>21</xdr:row>
      <xdr:rowOff>111847</xdr:rowOff>
    </xdr:to>
    <xdr:cxnSp macro="">
      <xdr:nvCxnSpPr>
        <xdr:cNvPr id="30" name="Прямая со стрелкой 29">
          <a:extLst>
            <a:ext uri="{FF2B5EF4-FFF2-40B4-BE49-F238E27FC236}">
              <a16:creationId xmlns:a16="http://schemas.microsoft.com/office/drawing/2014/main" id="{7E547F69-2235-468C-8547-A67A0D8EC7A7}"/>
            </a:ext>
          </a:extLst>
        </xdr:cNvPr>
        <xdr:cNvCxnSpPr>
          <a:stCxn id="15" idx="6"/>
          <a:endCxn id="29" idx="2"/>
        </xdr:cNvCxnSpPr>
      </xdr:nvCxnSpPr>
      <xdr:spPr>
        <a:xfrm flipV="1">
          <a:off x="11683710" y="4098059"/>
          <a:ext cx="923081" cy="142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403679</xdr:colOff>
      <xdr:row>19</xdr:row>
      <xdr:rowOff>131762</xdr:rowOff>
    </xdr:from>
    <xdr:to>
      <xdr:col>20</xdr:col>
      <xdr:colOff>304800</xdr:colOff>
      <xdr:row>21</xdr:row>
      <xdr:rowOff>34131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2BB4F40-EB07-4591-94A9-B0D62FFD935B}"/>
            </a:ext>
          </a:extLst>
        </xdr:cNvPr>
        <xdr:cNvSpPr txBox="1"/>
      </xdr:nvSpPr>
      <xdr:spPr>
        <a:xfrm>
          <a:off x="11986079" y="3751262"/>
          <a:ext cx="510721" cy="2833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З</a:t>
          </a:r>
          <a:r>
            <a:rPr lang="ru-RU" sz="1800" baseline="0"/>
            <a:t> 2</a:t>
          </a:r>
          <a:endParaRPr lang="ru-RU" sz="1100"/>
        </a:p>
      </xdr:txBody>
    </xdr:sp>
    <xdr:clientData/>
  </xdr:twoCellAnchor>
  <xdr:twoCellAnchor>
    <xdr:from>
      <xdr:col>18</xdr:col>
      <xdr:colOff>355455</xdr:colOff>
      <xdr:row>23</xdr:row>
      <xdr:rowOff>77643</xdr:rowOff>
    </xdr:from>
    <xdr:to>
      <xdr:col>18</xdr:col>
      <xdr:colOff>374958</xdr:colOff>
      <xdr:row>29</xdr:row>
      <xdr:rowOff>97632</xdr:rowOff>
    </xdr:to>
    <xdr:cxnSp macro="">
      <xdr:nvCxnSpPr>
        <xdr:cNvPr id="32" name="Прямая со стрелкой 31">
          <a:extLst>
            <a:ext uri="{FF2B5EF4-FFF2-40B4-BE49-F238E27FC236}">
              <a16:creationId xmlns:a16="http://schemas.microsoft.com/office/drawing/2014/main" id="{F611C6F8-3A9B-423D-A565-1B33F62DC8FB}"/>
            </a:ext>
          </a:extLst>
        </xdr:cNvPr>
        <xdr:cNvCxnSpPr>
          <a:stCxn id="14" idx="0"/>
          <a:endCxn id="15" idx="4"/>
        </xdr:cNvCxnSpPr>
      </xdr:nvCxnSpPr>
      <xdr:spPr>
        <a:xfrm flipV="1">
          <a:off x="11328255" y="4459143"/>
          <a:ext cx="19503" cy="116298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438605</xdr:colOff>
      <xdr:row>32</xdr:row>
      <xdr:rowOff>55563</xdr:rowOff>
    </xdr:from>
    <xdr:to>
      <xdr:col>21</xdr:col>
      <xdr:colOff>489117</xdr:colOff>
      <xdr:row>35</xdr:row>
      <xdr:rowOff>177656</xdr:rowOff>
    </xdr:to>
    <xdr:sp macro="" textlink="">
      <xdr:nvSpPr>
        <xdr:cNvPr id="33" name="Овал 32">
          <a:extLst>
            <a:ext uri="{FF2B5EF4-FFF2-40B4-BE49-F238E27FC236}">
              <a16:creationId xmlns:a16="http://schemas.microsoft.com/office/drawing/2014/main" id="{DC87AEDE-DF57-4FAE-9EBC-F01BD4EFC0F3}"/>
            </a:ext>
          </a:extLst>
        </xdr:cNvPr>
        <xdr:cNvSpPr/>
      </xdr:nvSpPr>
      <xdr:spPr>
        <a:xfrm>
          <a:off x="12630605" y="6151563"/>
          <a:ext cx="660112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10</a:t>
          </a:r>
        </a:p>
      </xdr:txBody>
    </xdr:sp>
    <xdr:clientData/>
  </xdr:twoCellAnchor>
  <xdr:twoCellAnchor>
    <xdr:from>
      <xdr:col>19</xdr:col>
      <xdr:colOff>101310</xdr:colOff>
      <xdr:row>21</xdr:row>
      <xdr:rowOff>111847</xdr:rowOff>
    </xdr:from>
    <xdr:to>
      <xdr:col>21</xdr:col>
      <xdr:colOff>168133</xdr:colOff>
      <xdr:row>32</xdr:row>
      <xdr:rowOff>55563</xdr:rowOff>
    </xdr:to>
    <xdr:cxnSp macro="">
      <xdr:nvCxnSpPr>
        <xdr:cNvPr id="34" name="Прямая со стрелкой 33">
          <a:extLst>
            <a:ext uri="{FF2B5EF4-FFF2-40B4-BE49-F238E27FC236}">
              <a16:creationId xmlns:a16="http://schemas.microsoft.com/office/drawing/2014/main" id="{F051C222-C21D-42D1-88E6-E23E27B31A6F}"/>
            </a:ext>
          </a:extLst>
        </xdr:cNvPr>
        <xdr:cNvCxnSpPr>
          <a:stCxn id="15" idx="6"/>
          <a:endCxn id="33" idx="0"/>
        </xdr:cNvCxnSpPr>
      </xdr:nvCxnSpPr>
      <xdr:spPr>
        <a:xfrm>
          <a:off x="11683710" y="4112347"/>
          <a:ext cx="1286023" cy="203921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415587</xdr:colOff>
      <xdr:row>29</xdr:row>
      <xdr:rowOff>119856</xdr:rowOff>
    </xdr:from>
    <xdr:to>
      <xdr:col>20</xdr:col>
      <xdr:colOff>371928</xdr:colOff>
      <xdr:row>31</xdr:row>
      <xdr:rowOff>15081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CB8F4DC-EA8C-4540-AB54-1F988CE92B31}"/>
            </a:ext>
          </a:extLst>
        </xdr:cNvPr>
        <xdr:cNvSpPr txBox="1"/>
      </xdr:nvSpPr>
      <xdr:spPr>
        <a:xfrm>
          <a:off x="11997987" y="5644356"/>
          <a:ext cx="565941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И 3</a:t>
          </a:r>
          <a:endParaRPr lang="ru-RU" sz="1100"/>
        </a:p>
      </xdr:txBody>
    </xdr:sp>
    <xdr:clientData/>
  </xdr:twoCellAnchor>
  <xdr:twoCellAnchor>
    <xdr:from>
      <xdr:col>21</xdr:col>
      <xdr:colOff>144319</xdr:colOff>
      <xdr:row>23</xdr:row>
      <xdr:rowOff>63355</xdr:rowOff>
    </xdr:from>
    <xdr:to>
      <xdr:col>21</xdr:col>
      <xdr:colOff>168133</xdr:colOff>
      <xdr:row>32</xdr:row>
      <xdr:rowOff>55563</xdr:rowOff>
    </xdr:to>
    <xdr:cxnSp macro="">
      <xdr:nvCxnSpPr>
        <xdr:cNvPr id="36" name="Прямая со стрелкой 35">
          <a:extLst>
            <a:ext uri="{FF2B5EF4-FFF2-40B4-BE49-F238E27FC236}">
              <a16:creationId xmlns:a16="http://schemas.microsoft.com/office/drawing/2014/main" id="{A63D21E6-C654-44E3-B3D4-477DE7E84600}"/>
            </a:ext>
          </a:extLst>
        </xdr:cNvPr>
        <xdr:cNvCxnSpPr>
          <a:stCxn id="33" idx="0"/>
          <a:endCxn id="29" idx="4"/>
        </xdr:cNvCxnSpPr>
      </xdr:nvCxnSpPr>
      <xdr:spPr>
        <a:xfrm flipH="1" flipV="1">
          <a:off x="12945919" y="4444855"/>
          <a:ext cx="23814" cy="170670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53974</xdr:colOff>
      <xdr:row>19</xdr:row>
      <xdr:rowOff>141287</xdr:rowOff>
    </xdr:from>
    <xdr:to>
      <xdr:col>24</xdr:col>
      <xdr:colOff>104487</xdr:colOff>
      <xdr:row>23</xdr:row>
      <xdr:rowOff>72880</xdr:rowOff>
    </xdr:to>
    <xdr:sp macro="" textlink="">
      <xdr:nvSpPr>
        <xdr:cNvPr id="37" name="Овал 36">
          <a:extLst>
            <a:ext uri="{FF2B5EF4-FFF2-40B4-BE49-F238E27FC236}">
              <a16:creationId xmlns:a16="http://schemas.microsoft.com/office/drawing/2014/main" id="{989A2252-501B-4832-9132-978CC24BB3FD}"/>
            </a:ext>
          </a:extLst>
        </xdr:cNvPr>
        <xdr:cNvSpPr/>
      </xdr:nvSpPr>
      <xdr:spPr>
        <a:xfrm>
          <a:off x="14074774" y="3760787"/>
          <a:ext cx="660113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11</a:t>
          </a:r>
        </a:p>
      </xdr:txBody>
    </xdr:sp>
    <xdr:clientData/>
  </xdr:twoCellAnchor>
  <xdr:twoCellAnchor>
    <xdr:from>
      <xdr:col>21</xdr:col>
      <xdr:colOff>465303</xdr:colOff>
      <xdr:row>21</xdr:row>
      <xdr:rowOff>97559</xdr:rowOff>
    </xdr:from>
    <xdr:to>
      <xdr:col>23</xdr:col>
      <xdr:colOff>53974</xdr:colOff>
      <xdr:row>21</xdr:row>
      <xdr:rowOff>107084</xdr:rowOff>
    </xdr:to>
    <xdr:cxnSp macro="">
      <xdr:nvCxnSpPr>
        <xdr:cNvPr id="38" name="Прямая со стрелкой 37">
          <a:extLst>
            <a:ext uri="{FF2B5EF4-FFF2-40B4-BE49-F238E27FC236}">
              <a16:creationId xmlns:a16="http://schemas.microsoft.com/office/drawing/2014/main" id="{D699A2F8-3C2E-4E6B-BB76-68DA7FE707F2}"/>
            </a:ext>
          </a:extLst>
        </xdr:cNvPr>
        <xdr:cNvCxnSpPr>
          <a:stCxn id="29" idx="6"/>
          <a:endCxn id="37" idx="2"/>
        </xdr:cNvCxnSpPr>
      </xdr:nvCxnSpPr>
      <xdr:spPr>
        <a:xfrm>
          <a:off x="13266903" y="4098059"/>
          <a:ext cx="807871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85724</xdr:colOff>
      <xdr:row>19</xdr:row>
      <xdr:rowOff>119855</xdr:rowOff>
    </xdr:from>
    <xdr:to>
      <xdr:col>22</xdr:col>
      <xdr:colOff>577848</xdr:colOff>
      <xdr:row>21</xdr:row>
      <xdr:rowOff>72230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275E414-3E9E-463D-ACAC-92480F46B09B}"/>
            </a:ext>
          </a:extLst>
        </xdr:cNvPr>
        <xdr:cNvSpPr txBox="1"/>
      </xdr:nvSpPr>
      <xdr:spPr>
        <a:xfrm>
          <a:off x="13496924" y="3739355"/>
          <a:ext cx="492124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К 3</a:t>
          </a:r>
          <a:endParaRPr lang="ru-RU" sz="1100"/>
        </a:p>
      </xdr:txBody>
    </xdr:sp>
    <xdr:clientData/>
  </xdr:twoCellAnchor>
  <xdr:twoCellAnchor>
    <xdr:from>
      <xdr:col>24</xdr:col>
      <xdr:colOff>104487</xdr:colOff>
      <xdr:row>21</xdr:row>
      <xdr:rowOff>107084</xdr:rowOff>
    </xdr:from>
    <xdr:to>
      <xdr:col>31</xdr:col>
      <xdr:colOff>574676</xdr:colOff>
      <xdr:row>39</xdr:row>
      <xdr:rowOff>157884</xdr:rowOff>
    </xdr:to>
    <xdr:cxnSp macro="">
      <xdr:nvCxnSpPr>
        <xdr:cNvPr id="40" name="Прямая со стрелкой 39">
          <a:extLst>
            <a:ext uri="{FF2B5EF4-FFF2-40B4-BE49-F238E27FC236}">
              <a16:creationId xmlns:a16="http://schemas.microsoft.com/office/drawing/2014/main" id="{9623A6E2-39FA-45F2-B6F0-073AB06CFC2E}"/>
            </a:ext>
          </a:extLst>
        </xdr:cNvPr>
        <xdr:cNvCxnSpPr>
          <a:cxnSpLocks/>
          <a:stCxn id="37" idx="6"/>
          <a:endCxn id="51" idx="2"/>
        </xdr:cNvCxnSpPr>
      </xdr:nvCxnSpPr>
      <xdr:spPr>
        <a:xfrm>
          <a:off x="14734887" y="4107584"/>
          <a:ext cx="4737389" cy="3479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503691</xdr:colOff>
      <xdr:row>23</xdr:row>
      <xdr:rowOff>96043</xdr:rowOff>
    </xdr:from>
    <xdr:to>
      <xdr:col>26</xdr:col>
      <xdr:colOff>448129</xdr:colOff>
      <xdr:row>25</xdr:row>
      <xdr:rowOff>53180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BCE7D4D-1BA7-4692-8C7B-D971FDB5EACA}"/>
            </a:ext>
          </a:extLst>
        </xdr:cNvPr>
        <xdr:cNvSpPr txBox="1"/>
      </xdr:nvSpPr>
      <xdr:spPr>
        <a:xfrm>
          <a:off x="15743691" y="4477543"/>
          <a:ext cx="554038" cy="3381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Л 7</a:t>
          </a:r>
          <a:endParaRPr lang="ru-RU" sz="1100"/>
        </a:p>
      </xdr:txBody>
    </xdr:sp>
    <xdr:clientData/>
  </xdr:twoCellAnchor>
  <xdr:twoCellAnchor>
    <xdr:from>
      <xdr:col>14</xdr:col>
      <xdr:colOff>74324</xdr:colOff>
      <xdr:row>5</xdr:row>
      <xdr:rowOff>149947</xdr:rowOff>
    </xdr:from>
    <xdr:to>
      <xdr:col>18</xdr:col>
      <xdr:colOff>374958</xdr:colOff>
      <xdr:row>19</xdr:row>
      <xdr:rowOff>146050</xdr:rowOff>
    </xdr:to>
    <xdr:cxnSp macro="">
      <xdr:nvCxnSpPr>
        <xdr:cNvPr id="42" name="Прямая со стрелкой 41">
          <a:extLst>
            <a:ext uri="{FF2B5EF4-FFF2-40B4-BE49-F238E27FC236}">
              <a16:creationId xmlns:a16="http://schemas.microsoft.com/office/drawing/2014/main" id="{9F5CC4FE-37D1-404B-9A18-4D62EA472890}"/>
            </a:ext>
          </a:extLst>
        </xdr:cNvPr>
        <xdr:cNvCxnSpPr>
          <a:stCxn id="3" idx="6"/>
          <a:endCxn id="15" idx="0"/>
        </xdr:cNvCxnSpPr>
      </xdr:nvCxnSpPr>
      <xdr:spPr>
        <a:xfrm>
          <a:off x="8608724" y="1102447"/>
          <a:ext cx="2739034" cy="2663103"/>
        </a:xfrm>
        <a:prstGeom prst="straightConnector1">
          <a:avLst/>
        </a:prstGeom>
        <a:ln>
          <a:solidFill>
            <a:srgbClr val="FF0000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101310</xdr:colOff>
      <xdr:row>21</xdr:row>
      <xdr:rowOff>111847</xdr:rowOff>
    </xdr:from>
    <xdr:to>
      <xdr:col>31</xdr:col>
      <xdr:colOff>574676</xdr:colOff>
      <xdr:row>39</xdr:row>
      <xdr:rowOff>157884</xdr:rowOff>
    </xdr:to>
    <xdr:cxnSp macro="">
      <xdr:nvCxnSpPr>
        <xdr:cNvPr id="43" name="Прямая со стрелкой 42">
          <a:extLst>
            <a:ext uri="{FF2B5EF4-FFF2-40B4-BE49-F238E27FC236}">
              <a16:creationId xmlns:a16="http://schemas.microsoft.com/office/drawing/2014/main" id="{BD5913D3-E7FD-4A12-85A8-2DE217B1E4EB}"/>
            </a:ext>
          </a:extLst>
        </xdr:cNvPr>
        <xdr:cNvCxnSpPr>
          <a:cxnSpLocks/>
          <a:stCxn id="15" idx="6"/>
          <a:endCxn id="51" idx="2"/>
        </xdr:cNvCxnSpPr>
      </xdr:nvCxnSpPr>
      <xdr:spPr>
        <a:xfrm>
          <a:off x="11683710" y="4112347"/>
          <a:ext cx="7788566" cy="34750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158750</xdr:colOff>
      <xdr:row>27</xdr:row>
      <xdr:rowOff>34131</xdr:rowOff>
    </xdr:from>
    <xdr:to>
      <xdr:col>25</xdr:col>
      <xdr:colOff>95250</xdr:colOff>
      <xdr:row>28</xdr:row>
      <xdr:rowOff>148431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FEAF071-F536-4BBC-98B5-54674CE05C70}"/>
            </a:ext>
          </a:extLst>
        </xdr:cNvPr>
        <xdr:cNvSpPr txBox="1"/>
      </xdr:nvSpPr>
      <xdr:spPr>
        <a:xfrm>
          <a:off x="14789150" y="5177631"/>
          <a:ext cx="5461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М 1</a:t>
          </a:r>
          <a:endParaRPr lang="ru-RU" sz="1100"/>
        </a:p>
      </xdr:txBody>
    </xdr:sp>
    <xdr:clientData/>
  </xdr:twoCellAnchor>
  <xdr:twoCellAnchor>
    <xdr:from>
      <xdr:col>12</xdr:col>
      <xdr:colOff>579747</xdr:colOff>
      <xdr:row>30</xdr:row>
      <xdr:rowOff>140349</xdr:rowOff>
    </xdr:from>
    <xdr:to>
      <xdr:col>26</xdr:col>
      <xdr:colOff>324304</xdr:colOff>
      <xdr:row>44</xdr:row>
      <xdr:rowOff>64221</xdr:rowOff>
    </xdr:to>
    <xdr:cxnSp macro="">
      <xdr:nvCxnSpPr>
        <xdr:cNvPr id="45" name="Прямая со стрелкой 44">
          <a:extLst>
            <a:ext uri="{FF2B5EF4-FFF2-40B4-BE49-F238E27FC236}">
              <a16:creationId xmlns:a16="http://schemas.microsoft.com/office/drawing/2014/main" id="{109F7AFC-93B6-4D80-AFC4-87078F7E147D}"/>
            </a:ext>
          </a:extLst>
        </xdr:cNvPr>
        <xdr:cNvCxnSpPr>
          <a:stCxn id="4" idx="4"/>
          <a:endCxn id="48" idx="2"/>
        </xdr:cNvCxnSpPr>
      </xdr:nvCxnSpPr>
      <xdr:spPr>
        <a:xfrm>
          <a:off x="7894947" y="5855349"/>
          <a:ext cx="8278957" cy="259087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489117</xdr:colOff>
      <xdr:row>34</xdr:row>
      <xdr:rowOff>21360</xdr:rowOff>
    </xdr:from>
    <xdr:to>
      <xdr:col>26</xdr:col>
      <xdr:colOff>324304</xdr:colOff>
      <xdr:row>44</xdr:row>
      <xdr:rowOff>64221</xdr:rowOff>
    </xdr:to>
    <xdr:cxnSp macro="">
      <xdr:nvCxnSpPr>
        <xdr:cNvPr id="46" name="Прямая со стрелкой 45">
          <a:extLst>
            <a:ext uri="{FF2B5EF4-FFF2-40B4-BE49-F238E27FC236}">
              <a16:creationId xmlns:a16="http://schemas.microsoft.com/office/drawing/2014/main" id="{CE0F75A3-D177-44E2-810C-CF2D87A7CCDE}"/>
            </a:ext>
          </a:extLst>
        </xdr:cNvPr>
        <xdr:cNvCxnSpPr>
          <a:stCxn id="33" idx="6"/>
          <a:endCxn id="48" idx="2"/>
        </xdr:cNvCxnSpPr>
      </xdr:nvCxnSpPr>
      <xdr:spPr>
        <a:xfrm>
          <a:off x="13290717" y="6498360"/>
          <a:ext cx="2883187" cy="194786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366772</xdr:colOff>
      <xdr:row>22</xdr:row>
      <xdr:rowOff>152281</xdr:rowOff>
    </xdr:from>
    <xdr:to>
      <xdr:col>26</xdr:col>
      <xdr:colOff>324304</xdr:colOff>
      <xdr:row>44</xdr:row>
      <xdr:rowOff>64221</xdr:rowOff>
    </xdr:to>
    <xdr:cxnSp macro="">
      <xdr:nvCxnSpPr>
        <xdr:cNvPr id="47" name="Прямая со стрелкой 46">
          <a:extLst>
            <a:ext uri="{FF2B5EF4-FFF2-40B4-BE49-F238E27FC236}">
              <a16:creationId xmlns:a16="http://schemas.microsoft.com/office/drawing/2014/main" id="{8B1DD7D8-A8B7-44F8-99E6-573C1ECF1734}"/>
            </a:ext>
          </a:extLst>
        </xdr:cNvPr>
        <xdr:cNvCxnSpPr>
          <a:stCxn id="29" idx="5"/>
          <a:endCxn id="48" idx="2"/>
        </xdr:cNvCxnSpPr>
      </xdr:nvCxnSpPr>
      <xdr:spPr>
        <a:xfrm>
          <a:off x="13168372" y="4343281"/>
          <a:ext cx="3005532" cy="410294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324304</xdr:colOff>
      <xdr:row>42</xdr:row>
      <xdr:rowOff>98424</xdr:rowOff>
    </xdr:from>
    <xdr:to>
      <xdr:col>27</xdr:col>
      <xdr:colOff>374814</xdr:colOff>
      <xdr:row>46</xdr:row>
      <xdr:rowOff>30017</xdr:rowOff>
    </xdr:to>
    <xdr:sp macro="" textlink="">
      <xdr:nvSpPr>
        <xdr:cNvPr id="48" name="Овал 47">
          <a:extLst>
            <a:ext uri="{FF2B5EF4-FFF2-40B4-BE49-F238E27FC236}">
              <a16:creationId xmlns:a16="http://schemas.microsoft.com/office/drawing/2014/main" id="{92DD8FB2-DB73-422E-94F3-92B7EFD8F04F}"/>
            </a:ext>
          </a:extLst>
        </xdr:cNvPr>
        <xdr:cNvSpPr/>
      </xdr:nvSpPr>
      <xdr:spPr>
        <a:xfrm>
          <a:off x="16173904" y="8099424"/>
          <a:ext cx="660110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12</a:t>
          </a:r>
        </a:p>
      </xdr:txBody>
    </xdr:sp>
    <xdr:clientData/>
  </xdr:twoCellAnchor>
  <xdr:twoCellAnchor>
    <xdr:from>
      <xdr:col>27</xdr:col>
      <xdr:colOff>374814</xdr:colOff>
      <xdr:row>39</xdr:row>
      <xdr:rowOff>157884</xdr:rowOff>
    </xdr:from>
    <xdr:to>
      <xdr:col>31</xdr:col>
      <xdr:colOff>574676</xdr:colOff>
      <xdr:row>44</xdr:row>
      <xdr:rowOff>64221</xdr:rowOff>
    </xdr:to>
    <xdr:cxnSp macro="">
      <xdr:nvCxnSpPr>
        <xdr:cNvPr id="49" name="Прямая со стрелкой 48">
          <a:extLst>
            <a:ext uri="{FF2B5EF4-FFF2-40B4-BE49-F238E27FC236}">
              <a16:creationId xmlns:a16="http://schemas.microsoft.com/office/drawing/2014/main" id="{BDF1C391-9D2E-43BB-9477-2EBC478E398C}"/>
            </a:ext>
          </a:extLst>
        </xdr:cNvPr>
        <xdr:cNvCxnSpPr>
          <a:cxnSpLocks/>
          <a:stCxn id="48" idx="6"/>
          <a:endCxn id="51" idx="2"/>
        </xdr:cNvCxnSpPr>
      </xdr:nvCxnSpPr>
      <xdr:spPr>
        <a:xfrm flipV="1">
          <a:off x="16834014" y="7587384"/>
          <a:ext cx="2638262" cy="8588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203200</xdr:colOff>
      <xdr:row>40</xdr:row>
      <xdr:rowOff>129380</xdr:rowOff>
    </xdr:from>
    <xdr:to>
      <xdr:col>29</xdr:col>
      <xdr:colOff>152400</xdr:colOff>
      <xdr:row>42</xdr:row>
      <xdr:rowOff>88105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836BAB5-824C-4885-9A00-FFC769D28CA1}"/>
            </a:ext>
          </a:extLst>
        </xdr:cNvPr>
        <xdr:cNvSpPr txBox="1"/>
      </xdr:nvSpPr>
      <xdr:spPr>
        <a:xfrm>
          <a:off x="17272000" y="7749380"/>
          <a:ext cx="558800" cy="339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/>
            <a:t>П 8</a:t>
          </a:r>
          <a:endParaRPr lang="ru-RU" sz="1100"/>
        </a:p>
      </xdr:txBody>
    </xdr:sp>
    <xdr:clientData/>
  </xdr:twoCellAnchor>
  <xdr:twoCellAnchor>
    <xdr:from>
      <xdr:col>31</xdr:col>
      <xdr:colOff>574676</xdr:colOff>
      <xdr:row>38</xdr:row>
      <xdr:rowOff>1587</xdr:rowOff>
    </xdr:from>
    <xdr:to>
      <xdr:col>33</xdr:col>
      <xdr:colOff>15587</xdr:colOff>
      <xdr:row>41</xdr:row>
      <xdr:rowOff>123680</xdr:rowOff>
    </xdr:to>
    <xdr:sp macro="" textlink="">
      <xdr:nvSpPr>
        <xdr:cNvPr id="51" name="Овал 50">
          <a:extLst>
            <a:ext uri="{FF2B5EF4-FFF2-40B4-BE49-F238E27FC236}">
              <a16:creationId xmlns:a16="http://schemas.microsoft.com/office/drawing/2014/main" id="{BA640A0A-746E-4AFE-B6E5-09DEC91D9CA3}"/>
            </a:ext>
          </a:extLst>
        </xdr:cNvPr>
        <xdr:cNvSpPr/>
      </xdr:nvSpPr>
      <xdr:spPr>
        <a:xfrm>
          <a:off x="19472276" y="7240587"/>
          <a:ext cx="660111" cy="69359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13</a:t>
          </a:r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50" zoomScaleNormal="50" workbookViewId="0">
      <selection activeCell="K2" sqref="K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A33A-9A4F-4D33-90D6-30A3C17C78EE}">
  <dimension ref="W1:AB25"/>
  <sheetViews>
    <sheetView topLeftCell="C1" zoomScale="60" zoomScaleNormal="60" workbookViewId="0">
      <selection activeCell="AB12" sqref="AB12"/>
    </sheetView>
  </sheetViews>
  <sheetFormatPr defaultRowHeight="15" x14ac:dyDescent="0.25"/>
  <cols>
    <col min="27" max="27" width="21.28515625" bestFit="1" customWidth="1"/>
    <col min="28" max="28" width="23.42578125" bestFit="1" customWidth="1"/>
  </cols>
  <sheetData>
    <row r="1" spans="23:28" x14ac:dyDescent="0.25">
      <c r="W1" s="1" t="s">
        <v>0</v>
      </c>
      <c r="X1" s="2"/>
      <c r="Y1" s="3"/>
      <c r="AA1" s="4" t="s">
        <v>1</v>
      </c>
      <c r="AB1" s="4" t="s">
        <v>2</v>
      </c>
    </row>
    <row r="2" spans="23:28" x14ac:dyDescent="0.25">
      <c r="W2" s="5" t="s">
        <v>3</v>
      </c>
      <c r="X2" s="5" t="s">
        <v>4</v>
      </c>
      <c r="Y2" s="5" t="s">
        <v>5</v>
      </c>
      <c r="AA2" s="5" t="s">
        <v>7</v>
      </c>
      <c r="AB2" s="4">
        <f>1+0+2+3+7</f>
        <v>13</v>
      </c>
    </row>
    <row r="3" spans="23:28" x14ac:dyDescent="0.25">
      <c r="W3" s="5">
        <v>1</v>
      </c>
      <c r="X3" s="5">
        <v>2</v>
      </c>
      <c r="Y3" s="5">
        <v>1</v>
      </c>
      <c r="AA3" s="9" t="s">
        <v>12</v>
      </c>
      <c r="AB3" s="9">
        <f>1+0+2+0+8</f>
        <v>11</v>
      </c>
    </row>
    <row r="4" spans="23:28" x14ac:dyDescent="0.25">
      <c r="W4" s="5">
        <v>1</v>
      </c>
      <c r="X4" s="5">
        <v>3</v>
      </c>
      <c r="Y4" s="5">
        <v>4</v>
      </c>
      <c r="AA4" s="4" t="s">
        <v>10</v>
      </c>
      <c r="AB4" s="4">
        <f>4+5+0+2+2+3+7</f>
        <v>23</v>
      </c>
    </row>
    <row r="5" spans="23:28" x14ac:dyDescent="0.25">
      <c r="W5" s="5">
        <v>2</v>
      </c>
      <c r="X5" s="5">
        <v>6</v>
      </c>
      <c r="Y5" s="5">
        <v>0</v>
      </c>
      <c r="AA5" s="8" t="s">
        <v>11</v>
      </c>
      <c r="AB5" s="4">
        <f>4+5+0+2+2+0+8</f>
        <v>21</v>
      </c>
    </row>
    <row r="6" spans="23:28" x14ac:dyDescent="0.25">
      <c r="W6" s="5">
        <v>2</v>
      </c>
      <c r="X6" s="5">
        <v>3</v>
      </c>
      <c r="Y6" s="5">
        <v>0</v>
      </c>
      <c r="AA6" s="8" t="s">
        <v>13</v>
      </c>
      <c r="AB6" s="4">
        <f>4+5+0+2+3+0+8</f>
        <v>22</v>
      </c>
    </row>
    <row r="7" spans="23:28" x14ac:dyDescent="0.25">
      <c r="W7" s="5">
        <v>3</v>
      </c>
      <c r="X7" s="5">
        <v>4</v>
      </c>
      <c r="Y7" s="5">
        <v>5</v>
      </c>
      <c r="AA7" s="8" t="s">
        <v>14</v>
      </c>
      <c r="AB7" s="9">
        <f>4+3+2+2+3+7</f>
        <v>21</v>
      </c>
    </row>
    <row r="8" spans="23:28" x14ac:dyDescent="0.25">
      <c r="W8" s="5">
        <v>3</v>
      </c>
      <c r="X8" s="5">
        <v>5</v>
      </c>
      <c r="Y8" s="5">
        <v>3</v>
      </c>
      <c r="AA8" s="9" t="s">
        <v>15</v>
      </c>
      <c r="AB8" s="4">
        <f>4+3+2+2+0+8</f>
        <v>19</v>
      </c>
    </row>
    <row r="9" spans="23:28" x14ac:dyDescent="0.25">
      <c r="W9" s="5">
        <v>4</v>
      </c>
      <c r="X9" s="5">
        <v>5</v>
      </c>
      <c r="Y9" s="5">
        <v>0</v>
      </c>
      <c r="AA9" s="8" t="s">
        <v>16</v>
      </c>
      <c r="AB9" s="4">
        <f>4+3+2+3+0+8</f>
        <v>20</v>
      </c>
    </row>
    <row r="10" spans="23:28" x14ac:dyDescent="0.25">
      <c r="W10" s="5">
        <v>5</v>
      </c>
      <c r="X10" s="5">
        <v>8</v>
      </c>
      <c r="Y10" s="5">
        <v>4</v>
      </c>
      <c r="AA10" s="9" t="s">
        <v>17</v>
      </c>
      <c r="AB10" s="4">
        <f>4+0+8</f>
        <v>12</v>
      </c>
    </row>
    <row r="11" spans="23:28" x14ac:dyDescent="0.25">
      <c r="W11" s="5">
        <v>5</v>
      </c>
      <c r="X11" s="5">
        <v>6</v>
      </c>
      <c r="Y11" s="5">
        <v>2</v>
      </c>
      <c r="AA11" s="9" t="s">
        <v>9</v>
      </c>
      <c r="AB11" s="4">
        <f>1+0+3+0+8</f>
        <v>12</v>
      </c>
    </row>
    <row r="12" spans="23:28" x14ac:dyDescent="0.25">
      <c r="W12" s="5">
        <v>5</v>
      </c>
      <c r="X12" s="5">
        <v>7</v>
      </c>
      <c r="Y12" s="5">
        <v>4</v>
      </c>
      <c r="AA12" s="6" t="s">
        <v>8</v>
      </c>
      <c r="AB12" s="6">
        <f>1+0+1</f>
        <v>2</v>
      </c>
    </row>
    <row r="13" spans="23:28" x14ac:dyDescent="0.25">
      <c r="W13" s="7">
        <v>6</v>
      </c>
      <c r="X13" s="7">
        <v>9</v>
      </c>
      <c r="Y13" s="7">
        <v>2</v>
      </c>
      <c r="AA13" s="4">
        <f>MIN(AB2:AB12)</f>
        <v>2</v>
      </c>
      <c r="AB13" s="4" t="s">
        <v>6</v>
      </c>
    </row>
    <row r="14" spans="23:28" x14ac:dyDescent="0.25">
      <c r="W14" s="7">
        <v>6</v>
      </c>
      <c r="X14" s="7">
        <v>10</v>
      </c>
      <c r="Y14" s="7">
        <v>3</v>
      </c>
    </row>
    <row r="15" spans="23:28" x14ac:dyDescent="0.25">
      <c r="W15" s="7">
        <v>6</v>
      </c>
      <c r="X15" s="7">
        <v>13</v>
      </c>
      <c r="Y15" s="7">
        <v>1</v>
      </c>
    </row>
    <row r="16" spans="23:28" x14ac:dyDescent="0.25">
      <c r="W16" s="7">
        <v>7</v>
      </c>
      <c r="X16" s="7">
        <v>6</v>
      </c>
      <c r="Y16" s="4">
        <v>0</v>
      </c>
    </row>
    <row r="17" spans="23:25" x14ac:dyDescent="0.25">
      <c r="W17" s="7">
        <v>8</v>
      </c>
      <c r="X17" s="7">
        <v>6</v>
      </c>
      <c r="Y17" s="4">
        <v>0</v>
      </c>
    </row>
    <row r="18" spans="23:25" x14ac:dyDescent="0.25">
      <c r="W18" s="7">
        <v>9</v>
      </c>
      <c r="X18" s="7">
        <v>11</v>
      </c>
      <c r="Y18" s="7">
        <v>3</v>
      </c>
    </row>
    <row r="19" spans="23:25" x14ac:dyDescent="0.25">
      <c r="W19" s="7">
        <v>9</v>
      </c>
      <c r="X19" s="7">
        <v>12</v>
      </c>
      <c r="Y19" s="4">
        <v>0</v>
      </c>
    </row>
    <row r="20" spans="23:25" x14ac:dyDescent="0.25">
      <c r="W20" s="7">
        <v>10</v>
      </c>
      <c r="X20" s="7">
        <v>12</v>
      </c>
      <c r="Y20" s="4">
        <v>0</v>
      </c>
    </row>
    <row r="21" spans="23:25" x14ac:dyDescent="0.25">
      <c r="W21" s="7">
        <v>11</v>
      </c>
      <c r="X21" s="7">
        <v>13</v>
      </c>
      <c r="Y21" s="4">
        <v>7</v>
      </c>
    </row>
    <row r="22" spans="23:25" x14ac:dyDescent="0.25">
      <c r="W22" s="7">
        <v>12</v>
      </c>
      <c r="X22" s="7">
        <v>13</v>
      </c>
      <c r="Y22" s="4">
        <v>8</v>
      </c>
    </row>
    <row r="23" spans="23:25" x14ac:dyDescent="0.25">
      <c r="W23" s="7">
        <v>3</v>
      </c>
      <c r="X23" s="7">
        <v>12</v>
      </c>
      <c r="Y23" s="9">
        <v>0</v>
      </c>
    </row>
    <row r="24" spans="23:25" x14ac:dyDescent="0.25">
      <c r="W24" s="7">
        <v>5</v>
      </c>
      <c r="X24" s="7">
        <v>13</v>
      </c>
      <c r="Y24" s="9">
        <v>6</v>
      </c>
    </row>
    <row r="25" spans="23:25" x14ac:dyDescent="0.25">
      <c r="W25" s="7">
        <v>10</v>
      </c>
      <c r="X25" s="7">
        <v>9</v>
      </c>
      <c r="Y25" s="9">
        <v>0</v>
      </c>
    </row>
  </sheetData>
  <mergeCells count="1">
    <mergeCell ref="W1:Y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0E05-50BC-4C0D-82E2-CB9FE2F2BAE6}">
  <dimension ref="A1:F25"/>
  <sheetViews>
    <sheetView zoomScale="60" zoomScaleNormal="60" workbookViewId="0">
      <selection activeCell="H25" sqref="H25"/>
    </sheetView>
  </sheetViews>
  <sheetFormatPr defaultRowHeight="15" x14ac:dyDescent="0.25"/>
  <cols>
    <col min="4" max="4" width="13.28515625" bestFit="1" customWidth="1"/>
    <col min="5" max="5" width="13.140625" bestFit="1" customWidth="1"/>
    <col min="11" max="11" width="13.28515625" bestFit="1" customWidth="1"/>
    <col min="12" max="12" width="13.140625" bestFit="1" customWidth="1"/>
    <col min="13" max="13" width="8" customWidth="1"/>
  </cols>
  <sheetData>
    <row r="1" spans="1:6" x14ac:dyDescent="0.25">
      <c r="A1" s="12" t="s">
        <v>0</v>
      </c>
      <c r="B1" s="13"/>
      <c r="C1" s="13"/>
      <c r="D1" s="13"/>
      <c r="E1" s="13"/>
      <c r="F1" s="13"/>
    </row>
    <row r="2" spans="1:6" ht="18" x14ac:dyDescent="0.25">
      <c r="A2" s="5" t="s">
        <v>3</v>
      </c>
      <c r="B2" s="5" t="s">
        <v>4</v>
      </c>
      <c r="C2" s="5" t="s">
        <v>5</v>
      </c>
      <c r="D2" s="10" t="s">
        <v>18</v>
      </c>
      <c r="E2" s="10" t="s">
        <v>19</v>
      </c>
      <c r="F2" s="10" t="s">
        <v>20</v>
      </c>
    </row>
    <row r="3" spans="1:6" x14ac:dyDescent="0.25">
      <c r="A3" s="5">
        <v>1</v>
      </c>
      <c r="B3" s="5">
        <v>2</v>
      </c>
      <c r="C3" s="5">
        <v>1</v>
      </c>
      <c r="D3" s="11">
        <v>1</v>
      </c>
      <c r="E3" s="4">
        <f>D3+D4</f>
        <v>1</v>
      </c>
      <c r="F3" s="4">
        <f>SUMPRODUCT(C3:C25,D3:D25)</f>
        <v>2</v>
      </c>
    </row>
    <row r="4" spans="1:6" x14ac:dyDescent="0.25">
      <c r="A4" s="5">
        <v>1</v>
      </c>
      <c r="B4" s="5">
        <v>3</v>
      </c>
      <c r="C4" s="5">
        <v>4</v>
      </c>
      <c r="D4" s="11">
        <v>0</v>
      </c>
      <c r="E4" s="4">
        <f>D3-D5-D6</f>
        <v>0</v>
      </c>
    </row>
    <row r="5" spans="1:6" x14ac:dyDescent="0.25">
      <c r="A5" s="5">
        <v>2</v>
      </c>
      <c r="B5" s="5">
        <v>6</v>
      </c>
      <c r="C5" s="5">
        <v>0</v>
      </c>
      <c r="D5" s="11">
        <v>1</v>
      </c>
      <c r="E5" s="4">
        <f>D4+D6-D7-D8-D23</f>
        <v>0</v>
      </c>
    </row>
    <row r="6" spans="1:6" x14ac:dyDescent="0.25">
      <c r="A6" s="5">
        <v>2</v>
      </c>
      <c r="B6" s="5">
        <v>3</v>
      </c>
      <c r="C6" s="5">
        <v>0</v>
      </c>
      <c r="D6" s="11">
        <v>0</v>
      </c>
      <c r="E6" s="4">
        <f>D7-D9</f>
        <v>0</v>
      </c>
    </row>
    <row r="7" spans="1:6" x14ac:dyDescent="0.25">
      <c r="A7" s="5">
        <v>3</v>
      </c>
      <c r="B7" s="5">
        <v>4</v>
      </c>
      <c r="C7" s="5">
        <v>5</v>
      </c>
      <c r="D7" s="11">
        <v>0</v>
      </c>
      <c r="E7" s="4">
        <f>D8+D9-D10-D11-D12-D24</f>
        <v>0</v>
      </c>
    </row>
    <row r="8" spans="1:6" x14ac:dyDescent="0.25">
      <c r="A8" s="5">
        <v>3</v>
      </c>
      <c r="B8" s="5">
        <v>5</v>
      </c>
      <c r="C8" s="5">
        <v>3</v>
      </c>
      <c r="D8" s="11">
        <v>0</v>
      </c>
      <c r="E8" s="4">
        <f>D11+D5+D17+D16-D13-D15-D14</f>
        <v>0</v>
      </c>
    </row>
    <row r="9" spans="1:6" x14ac:dyDescent="0.25">
      <c r="A9" s="5">
        <v>4</v>
      </c>
      <c r="B9" s="5">
        <v>5</v>
      </c>
      <c r="C9" s="5">
        <v>0</v>
      </c>
      <c r="D9" s="11">
        <v>0</v>
      </c>
      <c r="E9" s="4">
        <f>D12-D16</f>
        <v>0</v>
      </c>
    </row>
    <row r="10" spans="1:6" x14ac:dyDescent="0.25">
      <c r="A10" s="5">
        <v>5</v>
      </c>
      <c r="B10" s="5">
        <v>8</v>
      </c>
      <c r="C10" s="5">
        <v>4</v>
      </c>
      <c r="D10" s="11">
        <v>0</v>
      </c>
      <c r="E10" s="4">
        <f>D10-D17</f>
        <v>0</v>
      </c>
    </row>
    <row r="11" spans="1:6" x14ac:dyDescent="0.25">
      <c r="A11" s="5">
        <v>5</v>
      </c>
      <c r="B11" s="5">
        <v>6</v>
      </c>
      <c r="C11" s="5">
        <v>2</v>
      </c>
      <c r="D11" s="11">
        <v>0</v>
      </c>
      <c r="E11" s="4">
        <f>D13+D25-D18-D19</f>
        <v>0</v>
      </c>
    </row>
    <row r="12" spans="1:6" x14ac:dyDescent="0.25">
      <c r="A12" s="5">
        <v>5</v>
      </c>
      <c r="B12" s="5">
        <v>7</v>
      </c>
      <c r="C12" s="5">
        <v>4</v>
      </c>
      <c r="D12" s="11">
        <v>0</v>
      </c>
      <c r="E12" s="4">
        <f>D14-D25-D20</f>
        <v>0</v>
      </c>
    </row>
    <row r="13" spans="1:6" x14ac:dyDescent="0.25">
      <c r="A13" s="7">
        <v>6</v>
      </c>
      <c r="B13" s="7">
        <v>9</v>
      </c>
      <c r="C13" s="7">
        <v>2</v>
      </c>
      <c r="D13" s="11">
        <v>0</v>
      </c>
      <c r="E13" s="4">
        <f>D18-D21</f>
        <v>0</v>
      </c>
    </row>
    <row r="14" spans="1:6" x14ac:dyDescent="0.25">
      <c r="A14" s="7">
        <v>6</v>
      </c>
      <c r="B14" s="7">
        <v>10</v>
      </c>
      <c r="C14" s="7">
        <v>3</v>
      </c>
      <c r="D14" s="11">
        <v>0</v>
      </c>
      <c r="E14" s="4">
        <f>D19+D20+D23-D22</f>
        <v>0</v>
      </c>
    </row>
    <row r="15" spans="1:6" x14ac:dyDescent="0.25">
      <c r="A15" s="7">
        <v>6</v>
      </c>
      <c r="B15" s="7">
        <v>13</v>
      </c>
      <c r="C15" s="7">
        <v>1</v>
      </c>
      <c r="D15" s="11">
        <v>1</v>
      </c>
      <c r="E15" s="4">
        <f>D21+D15+D24+D22</f>
        <v>1</v>
      </c>
    </row>
    <row r="16" spans="1:6" x14ac:dyDescent="0.25">
      <c r="A16" s="7">
        <v>7</v>
      </c>
      <c r="B16" s="7">
        <v>6</v>
      </c>
      <c r="C16" s="4">
        <v>0</v>
      </c>
      <c r="D16" s="11">
        <v>0</v>
      </c>
    </row>
    <row r="17" spans="1:4" x14ac:dyDescent="0.25">
      <c r="A17" s="7">
        <v>8</v>
      </c>
      <c r="B17" s="7">
        <v>6</v>
      </c>
      <c r="C17" s="4">
        <v>0</v>
      </c>
      <c r="D17" s="11">
        <v>0</v>
      </c>
    </row>
    <row r="18" spans="1:4" x14ac:dyDescent="0.25">
      <c r="A18" s="7">
        <v>9</v>
      </c>
      <c r="B18" s="7">
        <v>11</v>
      </c>
      <c r="C18" s="7">
        <v>3</v>
      </c>
      <c r="D18" s="11">
        <v>0</v>
      </c>
    </row>
    <row r="19" spans="1:4" x14ac:dyDescent="0.25">
      <c r="A19" s="7">
        <v>9</v>
      </c>
      <c r="B19" s="7">
        <v>12</v>
      </c>
      <c r="C19" s="4">
        <v>0</v>
      </c>
      <c r="D19" s="11">
        <v>0</v>
      </c>
    </row>
    <row r="20" spans="1:4" x14ac:dyDescent="0.25">
      <c r="A20" s="7">
        <v>10</v>
      </c>
      <c r="B20" s="7">
        <v>12</v>
      </c>
      <c r="C20" s="4">
        <v>0</v>
      </c>
      <c r="D20" s="11">
        <v>0</v>
      </c>
    </row>
    <row r="21" spans="1:4" x14ac:dyDescent="0.25">
      <c r="A21" s="7">
        <v>11</v>
      </c>
      <c r="B21" s="7">
        <v>13</v>
      </c>
      <c r="C21" s="4">
        <v>7</v>
      </c>
      <c r="D21" s="11">
        <v>0</v>
      </c>
    </row>
    <row r="22" spans="1:4" x14ac:dyDescent="0.25">
      <c r="A22" s="7">
        <v>12</v>
      </c>
      <c r="B22" s="7">
        <v>13</v>
      </c>
      <c r="C22" s="4">
        <v>8</v>
      </c>
      <c r="D22" s="11">
        <v>0</v>
      </c>
    </row>
    <row r="23" spans="1:4" x14ac:dyDescent="0.25">
      <c r="A23" s="7">
        <v>3</v>
      </c>
      <c r="B23" s="7">
        <v>12</v>
      </c>
      <c r="C23" s="9">
        <v>0</v>
      </c>
      <c r="D23" s="11">
        <v>0</v>
      </c>
    </row>
    <row r="24" spans="1:4" x14ac:dyDescent="0.25">
      <c r="A24" s="7">
        <v>5</v>
      </c>
      <c r="B24" s="7">
        <v>13</v>
      </c>
      <c r="C24" s="9">
        <v>6</v>
      </c>
      <c r="D24" s="11">
        <v>0</v>
      </c>
    </row>
    <row r="25" spans="1:4" x14ac:dyDescent="0.25">
      <c r="A25" s="7">
        <v>10</v>
      </c>
      <c r="B25" s="7">
        <v>9</v>
      </c>
      <c r="C25" s="9">
        <v>0</v>
      </c>
      <c r="D25" s="11">
        <v>0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AE31-29BA-4172-B056-92A4D0A99C66}">
  <dimension ref="A1:F25"/>
  <sheetViews>
    <sheetView zoomScale="60" zoomScaleNormal="60" workbookViewId="0">
      <selection activeCell="F3" sqref="F3"/>
    </sheetView>
  </sheetViews>
  <sheetFormatPr defaultRowHeight="15" x14ac:dyDescent="0.25"/>
  <cols>
    <col min="4" max="4" width="13.7109375" bestFit="1" customWidth="1"/>
    <col min="5" max="5" width="13.5703125" bestFit="1" customWidth="1"/>
  </cols>
  <sheetData>
    <row r="1" spans="1:6" x14ac:dyDescent="0.25">
      <c r="A1" s="12" t="s">
        <v>0</v>
      </c>
      <c r="B1" s="13"/>
      <c r="C1" s="13"/>
      <c r="D1" s="13"/>
      <c r="E1" s="13"/>
      <c r="F1" s="13"/>
    </row>
    <row r="2" spans="1:6" ht="18" x14ac:dyDescent="0.25">
      <c r="A2" s="5" t="s">
        <v>3</v>
      </c>
      <c r="B2" s="5" t="s">
        <v>4</v>
      </c>
      <c r="C2" s="5" t="s">
        <v>22</v>
      </c>
      <c r="D2" s="10" t="s">
        <v>18</v>
      </c>
      <c r="E2" s="10" t="s">
        <v>19</v>
      </c>
      <c r="F2" s="10" t="s">
        <v>21</v>
      </c>
    </row>
    <row r="3" spans="1:6" x14ac:dyDescent="0.25">
      <c r="A3" s="5">
        <v>1</v>
      </c>
      <c r="B3" s="5">
        <v>2</v>
      </c>
      <c r="C3" s="5">
        <v>1</v>
      </c>
      <c r="D3" s="11">
        <v>0</v>
      </c>
      <c r="E3" s="4">
        <f>D3+D4-D21-D15-D24-D22</f>
        <v>0</v>
      </c>
      <c r="F3" s="4">
        <f>SUM(D3:D25)</f>
        <v>15</v>
      </c>
    </row>
    <row r="4" spans="1:6" x14ac:dyDescent="0.25">
      <c r="A4" s="5">
        <v>1</v>
      </c>
      <c r="B4" s="5">
        <v>3</v>
      </c>
      <c r="C4" s="5">
        <v>4</v>
      </c>
      <c r="D4" s="11">
        <v>3</v>
      </c>
      <c r="E4" s="4">
        <f>D3-D5-D6</f>
        <v>0</v>
      </c>
    </row>
    <row r="5" spans="1:6" x14ac:dyDescent="0.25">
      <c r="A5" s="5">
        <v>2</v>
      </c>
      <c r="B5" s="5">
        <v>6</v>
      </c>
      <c r="C5" s="5">
        <v>0</v>
      </c>
      <c r="D5" s="11">
        <v>0</v>
      </c>
      <c r="E5" s="4">
        <f>D4+D6-D7-D8-D23</f>
        <v>0</v>
      </c>
    </row>
    <row r="6" spans="1:6" x14ac:dyDescent="0.25">
      <c r="A6" s="5">
        <v>2</v>
      </c>
      <c r="B6" s="5">
        <v>3</v>
      </c>
      <c r="C6" s="5">
        <v>0</v>
      </c>
      <c r="D6" s="11">
        <v>0</v>
      </c>
      <c r="E6" s="4">
        <f>D7-D9</f>
        <v>0</v>
      </c>
    </row>
    <row r="7" spans="1:6" x14ac:dyDescent="0.25">
      <c r="A7" s="5">
        <v>3</v>
      </c>
      <c r="B7" s="5">
        <v>4</v>
      </c>
      <c r="C7" s="5">
        <v>5</v>
      </c>
      <c r="D7" s="11">
        <v>0</v>
      </c>
      <c r="E7" s="4">
        <f>D8+D9-D10-D11-D12-D24</f>
        <v>0</v>
      </c>
    </row>
    <row r="8" spans="1:6" x14ac:dyDescent="0.25">
      <c r="A8" s="5">
        <v>3</v>
      </c>
      <c r="B8" s="5">
        <v>5</v>
      </c>
      <c r="C8" s="5">
        <v>3</v>
      </c>
      <c r="D8" s="11">
        <v>3</v>
      </c>
      <c r="E8" s="4">
        <f>D11+D5+D17+D16-D13-D15-D14</f>
        <v>0</v>
      </c>
    </row>
    <row r="9" spans="1:6" x14ac:dyDescent="0.25">
      <c r="A9" s="5">
        <v>4</v>
      </c>
      <c r="B9" s="5">
        <v>5</v>
      </c>
      <c r="C9" s="5">
        <v>0</v>
      </c>
      <c r="D9" s="11">
        <v>0</v>
      </c>
      <c r="E9" s="4">
        <f>D12-D16</f>
        <v>0</v>
      </c>
    </row>
    <row r="10" spans="1:6" x14ac:dyDescent="0.25">
      <c r="A10" s="5">
        <v>5</v>
      </c>
      <c r="B10" s="5">
        <v>8</v>
      </c>
      <c r="C10" s="5">
        <v>4</v>
      </c>
      <c r="D10" s="11">
        <v>0</v>
      </c>
      <c r="E10" s="4">
        <f>D10-D17</f>
        <v>0</v>
      </c>
    </row>
    <row r="11" spans="1:6" x14ac:dyDescent="0.25">
      <c r="A11" s="5">
        <v>5</v>
      </c>
      <c r="B11" s="5">
        <v>6</v>
      </c>
      <c r="C11" s="5">
        <v>2</v>
      </c>
      <c r="D11" s="11">
        <v>2</v>
      </c>
      <c r="E11" s="4">
        <f>D13+D25-D18-D19</f>
        <v>0</v>
      </c>
    </row>
    <row r="12" spans="1:6" x14ac:dyDescent="0.25">
      <c r="A12" s="5">
        <v>5</v>
      </c>
      <c r="B12" s="5">
        <v>7</v>
      </c>
      <c r="C12" s="5">
        <v>4</v>
      </c>
      <c r="D12" s="11">
        <v>0</v>
      </c>
      <c r="E12" s="4">
        <f>D14-D25-D20</f>
        <v>0</v>
      </c>
    </row>
    <row r="13" spans="1:6" x14ac:dyDescent="0.25">
      <c r="A13" s="7">
        <v>6</v>
      </c>
      <c r="B13" s="7">
        <v>9</v>
      </c>
      <c r="C13" s="7">
        <v>2</v>
      </c>
      <c r="D13" s="11">
        <v>2</v>
      </c>
      <c r="E13" s="4">
        <f>D18-D21</f>
        <v>0</v>
      </c>
    </row>
    <row r="14" spans="1:6" x14ac:dyDescent="0.25">
      <c r="A14" s="7">
        <v>6</v>
      </c>
      <c r="B14" s="7">
        <v>10</v>
      </c>
      <c r="C14" s="7">
        <v>3</v>
      </c>
      <c r="D14" s="11">
        <v>0</v>
      </c>
      <c r="E14" s="4">
        <f>D19+D20+D23-D22</f>
        <v>0</v>
      </c>
    </row>
    <row r="15" spans="1:6" x14ac:dyDescent="0.25">
      <c r="A15" s="7">
        <v>6</v>
      </c>
      <c r="B15" s="7">
        <v>13</v>
      </c>
      <c r="C15" s="7">
        <v>1</v>
      </c>
      <c r="D15" s="11">
        <v>0</v>
      </c>
      <c r="E15" s="4"/>
    </row>
    <row r="16" spans="1:6" x14ac:dyDescent="0.25">
      <c r="A16" s="7">
        <v>7</v>
      </c>
      <c r="B16" s="7">
        <v>6</v>
      </c>
      <c r="C16" s="4">
        <v>0</v>
      </c>
      <c r="D16" s="11">
        <v>0</v>
      </c>
    </row>
    <row r="17" spans="1:4" x14ac:dyDescent="0.25">
      <c r="A17" s="7">
        <v>8</v>
      </c>
      <c r="B17" s="7">
        <v>6</v>
      </c>
      <c r="C17" s="4">
        <v>0</v>
      </c>
      <c r="D17" s="11">
        <v>0</v>
      </c>
    </row>
    <row r="18" spans="1:4" x14ac:dyDescent="0.25">
      <c r="A18" s="7">
        <v>9</v>
      </c>
      <c r="B18" s="7">
        <v>11</v>
      </c>
      <c r="C18" s="7">
        <v>3</v>
      </c>
      <c r="D18" s="11">
        <v>2</v>
      </c>
    </row>
    <row r="19" spans="1:4" x14ac:dyDescent="0.25">
      <c r="A19" s="7">
        <v>9</v>
      </c>
      <c r="B19" s="7">
        <v>12</v>
      </c>
      <c r="C19" s="4">
        <v>0</v>
      </c>
      <c r="D19" s="11">
        <v>0</v>
      </c>
    </row>
    <row r="20" spans="1:4" x14ac:dyDescent="0.25">
      <c r="A20" s="7">
        <v>10</v>
      </c>
      <c r="B20" s="7">
        <v>12</v>
      </c>
      <c r="C20" s="4">
        <v>0</v>
      </c>
      <c r="D20" s="11">
        <v>0</v>
      </c>
    </row>
    <row r="21" spans="1:4" x14ac:dyDescent="0.25">
      <c r="A21" s="7">
        <v>11</v>
      </c>
      <c r="B21" s="7">
        <v>13</v>
      </c>
      <c r="C21" s="4">
        <v>7</v>
      </c>
      <c r="D21" s="11">
        <v>2</v>
      </c>
    </row>
    <row r="22" spans="1:4" x14ac:dyDescent="0.25">
      <c r="A22" s="7">
        <v>12</v>
      </c>
      <c r="B22" s="7">
        <v>13</v>
      </c>
      <c r="C22" s="4">
        <v>8</v>
      </c>
      <c r="D22" s="11">
        <v>0</v>
      </c>
    </row>
    <row r="23" spans="1:4" x14ac:dyDescent="0.25">
      <c r="A23" s="7">
        <v>3</v>
      </c>
      <c r="B23" s="7">
        <v>12</v>
      </c>
      <c r="C23" s="9">
        <v>0</v>
      </c>
      <c r="D23" s="11">
        <v>0</v>
      </c>
    </row>
    <row r="24" spans="1:4" x14ac:dyDescent="0.25">
      <c r="A24" s="7">
        <v>5</v>
      </c>
      <c r="B24" s="7">
        <v>13</v>
      </c>
      <c r="C24" s="9">
        <v>6</v>
      </c>
      <c r="D24" s="11">
        <v>1</v>
      </c>
    </row>
    <row r="25" spans="1:4" x14ac:dyDescent="0.25">
      <c r="A25" s="7">
        <v>10</v>
      </c>
      <c r="B25" s="7">
        <v>9</v>
      </c>
      <c r="C25" s="9">
        <v>0</v>
      </c>
      <c r="D25" s="11">
        <v>0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Сетевой график</vt:lpstr>
      <vt:lpstr>Кратчайший путь</vt:lpstr>
      <vt:lpstr>КП поиск решений</vt:lpstr>
      <vt:lpstr>МП поиском решения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50</dc:creator>
  <cp:lastModifiedBy>Студент каб54</cp:lastModifiedBy>
  <dcterms:created xsi:type="dcterms:W3CDTF">2015-06-05T18:17:20Z</dcterms:created>
  <dcterms:modified xsi:type="dcterms:W3CDTF">2026-02-20T10:23:59Z</dcterms:modified>
</cp:coreProperties>
</file>