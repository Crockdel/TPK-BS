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етевым графикам\"/>
    </mc:Choice>
  </mc:AlternateContent>
  <bookViews>
    <workbookView xWindow="0" yWindow="0" windowWidth="14055" windowHeight="8700"/>
  </bookViews>
  <sheets>
    <sheet name="Лист1" sheetId="1" r:id="rId1"/>
    <sheet name="Лист2" sheetId="2" r:id="rId2"/>
  </sheets>
  <definedNames>
    <definedName name="solver_adj" localSheetId="1" hidden="1">Лист2!$D$2:$D$21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Лист2!$D$2:$D$21</definedName>
    <definedName name="solver_lhs10" localSheetId="1" hidden="1">Лист2!$E$2</definedName>
    <definedName name="solver_lhs11" localSheetId="1" hidden="1">Лист2!$E$3</definedName>
    <definedName name="solver_lhs12" localSheetId="1" hidden="1">Лист2!$E$4</definedName>
    <definedName name="solver_lhs13" localSheetId="1" hidden="1">Лист2!$E$5</definedName>
    <definedName name="solver_lhs14" localSheetId="1" hidden="1">Лист2!$E$6</definedName>
    <definedName name="solver_lhs15" localSheetId="1" hidden="1">Лист2!$E$7</definedName>
    <definedName name="solver_lhs16" localSheetId="1" hidden="1">Лист2!$E$8</definedName>
    <definedName name="solver_lhs17" localSheetId="1" hidden="1">Лист2!$E$9</definedName>
    <definedName name="solver_lhs18" localSheetId="1" hidden="1">Лист2!$E$6</definedName>
    <definedName name="solver_lhs2" localSheetId="1" hidden="1">Лист2!$E$10</definedName>
    <definedName name="solver_lhs3" localSheetId="1" hidden="1">Лист2!$E$11</definedName>
    <definedName name="solver_lhs4" localSheetId="1" hidden="1">Лист2!$E$12</definedName>
    <definedName name="solver_lhs5" localSheetId="1" hidden="1">Лист2!$E$13</definedName>
    <definedName name="solver_lhs6" localSheetId="1" hidden="1">Лист2!$E$14</definedName>
    <definedName name="solver_lhs7" localSheetId="1" hidden="1">Лист2!$E$15</definedName>
    <definedName name="solver_lhs8" localSheetId="1" hidden="1">Лист2!$E$16</definedName>
    <definedName name="solver_lhs9" localSheetId="1" hidden="1">Лист2!$E$17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17</definedName>
    <definedName name="solver_nwt" localSheetId="1" hidden="1">1</definedName>
    <definedName name="solver_opt" localSheetId="1" hidden="1">Лист2!$F$2</definedName>
    <definedName name="solver_pre" localSheetId="1" hidden="1">0.000001</definedName>
    <definedName name="solver_rbv" localSheetId="1" hidden="1">1</definedName>
    <definedName name="solver_rel1" localSheetId="1" hidden="1">5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13" localSheetId="1" hidden="1">2</definedName>
    <definedName name="solver_rel14" localSheetId="1" hidden="1">2</definedName>
    <definedName name="solver_rel15" localSheetId="1" hidden="1">2</definedName>
    <definedName name="solver_rel16" localSheetId="1" hidden="1">2</definedName>
    <definedName name="solver_rel17" localSheetId="1" hidden="1">2</definedName>
    <definedName name="solver_rel18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1</definedName>
    <definedName name="solver_rel9" localSheetId="1" hidden="1">2</definedName>
    <definedName name="solver_rhs1" localSheetId="1" hidden="1">"бинарное"</definedName>
    <definedName name="solver_rhs10" localSheetId="1" hidden="1">1</definedName>
    <definedName name="solver_rhs11" localSheetId="1" hidden="1">0</definedName>
    <definedName name="solver_rhs12" localSheetId="1" hidden="1">0</definedName>
    <definedName name="solver_rhs13" localSheetId="1" hidden="1">0</definedName>
    <definedName name="solver_rhs14" localSheetId="1" hidden="1">0</definedName>
    <definedName name="solver_rhs15" localSheetId="1" hidden="1">0</definedName>
    <definedName name="solver_rhs16" localSheetId="1" hidden="1">0</definedName>
    <definedName name="solver_rhs17" localSheetId="1" hidden="1">0</definedName>
    <definedName name="solver_rhs18" localSheetId="1" hidden="1">0</definedName>
    <definedName name="solver_rhs2" localSheetId="1" hidden="1">0</definedName>
    <definedName name="solver_rhs3" localSheetId="1" hidden="1">0</definedName>
    <definedName name="solver_rhs4" localSheetId="1" hidden="1">0</definedName>
    <definedName name="solver_rhs5" localSheetId="1" hidden="1">0</definedName>
    <definedName name="solver_rhs6" localSheetId="1" hidden="1">0</definedName>
    <definedName name="solver_rhs7" localSheetId="1" hidden="1">0</definedName>
    <definedName name="solver_rhs8" localSheetId="1" hidden="1">0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5" i="1" l="1"/>
  <c r="B19" i="1"/>
  <c r="B20" i="1"/>
  <c r="B21" i="1"/>
  <c r="B22" i="1"/>
  <c r="B23" i="1"/>
  <c r="B24" i="1"/>
  <c r="E17" i="2" l="1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F2" i="2" l="1"/>
</calcChain>
</file>

<file path=xl/sharedStrings.xml><?xml version="1.0" encoding="utf-8"?>
<sst xmlns="http://schemas.openxmlformats.org/spreadsheetml/2006/main" count="48" uniqueCount="42">
  <si>
    <t>Предшествующая работа</t>
  </si>
  <si>
    <t>Рассматриваемая работа</t>
  </si>
  <si>
    <t>-</t>
  </si>
  <si>
    <t>А</t>
  </si>
  <si>
    <t>Б, В, Г</t>
  </si>
  <si>
    <t>В, Г</t>
  </si>
  <si>
    <t>Б, В</t>
  </si>
  <si>
    <t>А 1</t>
  </si>
  <si>
    <t>Б 3</t>
  </si>
  <si>
    <t>В 2</t>
  </si>
  <si>
    <t>Г 6</t>
  </si>
  <si>
    <t>Д 9</t>
  </si>
  <si>
    <t>Е 1</t>
  </si>
  <si>
    <t>Н 4</t>
  </si>
  <si>
    <t>Н</t>
  </si>
  <si>
    <t>Д, Е, Ж</t>
  </si>
  <si>
    <t>А, В</t>
  </si>
  <si>
    <t>З, И</t>
  </si>
  <si>
    <t>Л, К</t>
  </si>
  <si>
    <t>Д, Е, Ж, Л</t>
  </si>
  <si>
    <t>Ж 7</t>
  </si>
  <si>
    <t>З 4</t>
  </si>
  <si>
    <t>И 1</t>
  </si>
  <si>
    <t>К 2</t>
  </si>
  <si>
    <t>Л 8</t>
  </si>
  <si>
    <t>М 3</t>
  </si>
  <si>
    <t>О 5</t>
  </si>
  <si>
    <t>Маршрут</t>
  </si>
  <si>
    <t>Кратчайшее расстояние</t>
  </si>
  <si>
    <t>1-2-4-7-9-11-12-13-15-16</t>
  </si>
  <si>
    <t xml:space="preserve">1-2-5-7-9-11-12-13-15-16 </t>
  </si>
  <si>
    <t xml:space="preserve">1-3-6-8-10-11-12-13-15-16 </t>
  </si>
  <si>
    <t xml:space="preserve">1-3-7-9-11-12-13-15-16 </t>
  </si>
  <si>
    <t xml:space="preserve">1-2-11-12-13-15-16 </t>
  </si>
  <si>
    <t xml:space="preserve">1-14-15-16 </t>
  </si>
  <si>
    <t>Pi</t>
  </si>
  <si>
    <t>Pj</t>
  </si>
  <si>
    <t>Lij</t>
  </si>
  <si>
    <t>Переменные</t>
  </si>
  <si>
    <t>Ограничения</t>
  </si>
  <si>
    <t>Lmin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</si>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</sst>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0" xfId="0" applyBorder="1"/>
    <xf numFmtId="0" fontId="1" fillId="0" borderId="3" xfId="0" applyFont="1" applyFill="1" applyBorder="1" applyAlignment="1">
      <alignment horizontal="center"/>
    </xf>
    <xf numFmtId="0" fontId="0" fillId="0" borderId="2" xfId="0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172508</xdr:colOff>
      <xdr:row>12</xdr:row>
      <xdr:rowOff>178858</xdr:rowOff>
    </xdr:from>
    <xdr:to>
      <xdr:col>6</xdr:col>
      <xdr:colOff>229658</xdr:colOff>
      <xdr:row>16</xdr:row>
      <xdr:rowOff>83608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F4942798-1279-4EAC-BB52-267F92D44283}"/>
            </a:ext>
          </a:extLst>
        </xdr:cNvPr>
        <xdr:cNvSpPr/>
      </xdr:nvSpPr>
      <xdr:spPr>
        <a:xfrm>
          <a:off x="5559425" y="2464858"/>
          <a:ext cx="670983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1</a:t>
          </a:r>
        </a:p>
      </xdr:txBody>
    </xdr:sp>
    <xdr:clientData/>
  </xdr:twoCellAnchor>
  <xdr:twoCellAnchor>
    <xdr:from>
      <xdr:col>7</xdr:col>
      <xdr:colOff>1</xdr:colOff>
      <xdr:row>8</xdr:row>
      <xdr:rowOff>117476</xdr:rowOff>
    </xdr:from>
    <xdr:to>
      <xdr:col>8</xdr:col>
      <xdr:colOff>61384</xdr:colOff>
      <xdr:row>12</xdr:row>
      <xdr:rowOff>22226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0A1395C1-BD5F-4F60-9F25-E2B9D18B8F46}"/>
            </a:ext>
          </a:extLst>
        </xdr:cNvPr>
        <xdr:cNvSpPr/>
      </xdr:nvSpPr>
      <xdr:spPr>
        <a:xfrm>
          <a:off x="6614584" y="1641476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2</a:t>
          </a:r>
        </a:p>
      </xdr:txBody>
    </xdr:sp>
    <xdr:clientData/>
  </xdr:twoCellAnchor>
  <xdr:twoCellAnchor>
    <xdr:from>
      <xdr:col>7</xdr:col>
      <xdr:colOff>25400</xdr:colOff>
      <xdr:row>16</xdr:row>
      <xdr:rowOff>58209</xdr:rowOff>
    </xdr:from>
    <xdr:to>
      <xdr:col>8</xdr:col>
      <xdr:colOff>86783</xdr:colOff>
      <xdr:row>19</xdr:row>
      <xdr:rowOff>153459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3BF403DF-EDB5-48E5-82E1-B969B8019AAA}"/>
            </a:ext>
          </a:extLst>
        </xdr:cNvPr>
        <xdr:cNvSpPr/>
      </xdr:nvSpPr>
      <xdr:spPr>
        <a:xfrm>
          <a:off x="6639983" y="3106209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3</a:t>
          </a:r>
        </a:p>
      </xdr:txBody>
    </xdr:sp>
    <xdr:clientData/>
  </xdr:twoCellAnchor>
  <xdr:twoCellAnchor>
    <xdr:from>
      <xdr:col>9</xdr:col>
      <xdr:colOff>169333</xdr:colOff>
      <xdr:row>4</xdr:row>
      <xdr:rowOff>63500</xdr:rowOff>
    </xdr:from>
    <xdr:to>
      <xdr:col>10</xdr:col>
      <xdr:colOff>230717</xdr:colOff>
      <xdr:row>7</xdr:row>
      <xdr:rowOff>158750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DD20F139-1C0E-43B7-88EC-18A12212DE7A}"/>
            </a:ext>
          </a:extLst>
        </xdr:cNvPr>
        <xdr:cNvSpPr/>
      </xdr:nvSpPr>
      <xdr:spPr>
        <a:xfrm>
          <a:off x="8011583" y="825500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4</a:t>
          </a:r>
        </a:p>
      </xdr:txBody>
    </xdr:sp>
    <xdr:clientData/>
  </xdr:twoCellAnchor>
  <xdr:twoCellAnchor>
    <xdr:from>
      <xdr:col>9</xdr:col>
      <xdr:colOff>194733</xdr:colOff>
      <xdr:row>8</xdr:row>
      <xdr:rowOff>141817</xdr:rowOff>
    </xdr:from>
    <xdr:to>
      <xdr:col>10</xdr:col>
      <xdr:colOff>256117</xdr:colOff>
      <xdr:row>12</xdr:row>
      <xdr:rowOff>46567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02DE1DC7-4319-4D6A-BE22-787BFF9EEB36}"/>
            </a:ext>
          </a:extLst>
        </xdr:cNvPr>
        <xdr:cNvSpPr/>
      </xdr:nvSpPr>
      <xdr:spPr>
        <a:xfrm>
          <a:off x="8036983" y="1665817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5</a:t>
          </a:r>
        </a:p>
      </xdr:txBody>
    </xdr:sp>
    <xdr:clientData/>
  </xdr:twoCellAnchor>
  <xdr:twoCellAnchor>
    <xdr:from>
      <xdr:col>11</xdr:col>
      <xdr:colOff>381000</xdr:colOff>
      <xdr:row>8</xdr:row>
      <xdr:rowOff>127001</xdr:rowOff>
    </xdr:from>
    <xdr:to>
      <xdr:col>12</xdr:col>
      <xdr:colOff>442384</xdr:colOff>
      <xdr:row>12</xdr:row>
      <xdr:rowOff>31751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85B6B786-BE56-421A-8942-A237FD2C9BF7}"/>
            </a:ext>
          </a:extLst>
        </xdr:cNvPr>
        <xdr:cNvSpPr/>
      </xdr:nvSpPr>
      <xdr:spPr>
        <a:xfrm>
          <a:off x="9450917" y="1651001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7</a:t>
          </a:r>
        </a:p>
      </xdr:txBody>
    </xdr:sp>
    <xdr:clientData/>
  </xdr:twoCellAnchor>
  <xdr:twoCellAnchor>
    <xdr:from>
      <xdr:col>13</xdr:col>
      <xdr:colOff>338667</xdr:colOff>
      <xdr:row>8</xdr:row>
      <xdr:rowOff>127000</xdr:rowOff>
    </xdr:from>
    <xdr:to>
      <xdr:col>14</xdr:col>
      <xdr:colOff>400050</xdr:colOff>
      <xdr:row>12</xdr:row>
      <xdr:rowOff>31750</xdr:rowOff>
    </xdr:to>
    <xdr:sp macro="" textlink="">
      <xdr:nvSpPr>
        <xdr:cNvPr id="13" name="Овал 12">
          <a:extLst>
            <a:ext uri="{FF2B5EF4-FFF2-40B4-BE49-F238E27FC236}">
              <a16:creationId xmlns:a16="http://schemas.microsoft.com/office/drawing/2014/main" id="{8C34E4A0-15F6-46B2-B1FF-FA55254A14F8}"/>
            </a:ext>
          </a:extLst>
        </xdr:cNvPr>
        <xdr:cNvSpPr/>
      </xdr:nvSpPr>
      <xdr:spPr>
        <a:xfrm>
          <a:off x="10636250" y="1651000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9</a:t>
          </a:r>
        </a:p>
      </xdr:txBody>
    </xdr:sp>
    <xdr:clientData/>
  </xdr:twoCellAnchor>
  <xdr:twoCellAnchor>
    <xdr:from>
      <xdr:col>9</xdr:col>
      <xdr:colOff>124883</xdr:colOff>
      <xdr:row>18</xdr:row>
      <xdr:rowOff>71967</xdr:rowOff>
    </xdr:from>
    <xdr:to>
      <xdr:col>10</xdr:col>
      <xdr:colOff>186267</xdr:colOff>
      <xdr:row>21</xdr:row>
      <xdr:rowOff>167217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347C86BD-29F5-4B78-BEF7-1471372196E2}"/>
            </a:ext>
          </a:extLst>
        </xdr:cNvPr>
        <xdr:cNvSpPr/>
      </xdr:nvSpPr>
      <xdr:spPr>
        <a:xfrm>
          <a:off x="7967133" y="3500967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6</a:t>
          </a:r>
        </a:p>
      </xdr:txBody>
    </xdr:sp>
    <xdr:clientData/>
  </xdr:twoCellAnchor>
  <xdr:twoCellAnchor>
    <xdr:from>
      <xdr:col>11</xdr:col>
      <xdr:colOff>285750</xdr:colOff>
      <xdr:row>18</xdr:row>
      <xdr:rowOff>84667</xdr:rowOff>
    </xdr:from>
    <xdr:to>
      <xdr:col>12</xdr:col>
      <xdr:colOff>347134</xdr:colOff>
      <xdr:row>21</xdr:row>
      <xdr:rowOff>179917</xdr:rowOff>
    </xdr:to>
    <xdr:sp macro="" textlink="">
      <xdr:nvSpPr>
        <xdr:cNvPr id="15" name="Овал 14">
          <a:extLst>
            <a:ext uri="{FF2B5EF4-FFF2-40B4-BE49-F238E27FC236}">
              <a16:creationId xmlns:a16="http://schemas.microsoft.com/office/drawing/2014/main" id="{4E3AC6EE-2636-46C6-8B57-4D5364FAC815}"/>
            </a:ext>
          </a:extLst>
        </xdr:cNvPr>
        <xdr:cNvSpPr/>
      </xdr:nvSpPr>
      <xdr:spPr>
        <a:xfrm>
          <a:off x="9355667" y="3513667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8</a:t>
          </a:r>
        </a:p>
      </xdr:txBody>
    </xdr:sp>
    <xdr:clientData/>
  </xdr:twoCellAnchor>
  <xdr:twoCellAnchor>
    <xdr:from>
      <xdr:col>13</xdr:col>
      <xdr:colOff>275167</xdr:colOff>
      <xdr:row>18</xdr:row>
      <xdr:rowOff>95250</xdr:rowOff>
    </xdr:from>
    <xdr:to>
      <xdr:col>14</xdr:col>
      <xdr:colOff>336550</xdr:colOff>
      <xdr:row>22</xdr:row>
      <xdr:rowOff>0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A1D3F2C9-788D-448A-9D7E-BA3DE00A1F05}"/>
            </a:ext>
          </a:extLst>
        </xdr:cNvPr>
        <xdr:cNvSpPr/>
      </xdr:nvSpPr>
      <xdr:spPr>
        <a:xfrm>
          <a:off x="10572750" y="3524250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10</a:t>
          </a:r>
        </a:p>
      </xdr:txBody>
    </xdr:sp>
    <xdr:clientData/>
  </xdr:twoCellAnchor>
  <xdr:twoCellAnchor>
    <xdr:from>
      <xdr:col>15</xdr:col>
      <xdr:colOff>105835</xdr:colOff>
      <xdr:row>13</xdr:row>
      <xdr:rowOff>84667</xdr:rowOff>
    </xdr:from>
    <xdr:to>
      <xdr:col>16</xdr:col>
      <xdr:colOff>167219</xdr:colOff>
      <xdr:row>16</xdr:row>
      <xdr:rowOff>179917</xdr:rowOff>
    </xdr:to>
    <xdr:sp macro="" textlink="">
      <xdr:nvSpPr>
        <xdr:cNvPr id="17" name="Овал 16">
          <a:extLst>
            <a:ext uri="{FF2B5EF4-FFF2-40B4-BE49-F238E27FC236}">
              <a16:creationId xmlns:a16="http://schemas.microsoft.com/office/drawing/2014/main" id="{66A29AF6-7E49-407D-9F36-A3B8B68A3CC9}"/>
            </a:ext>
          </a:extLst>
        </xdr:cNvPr>
        <xdr:cNvSpPr/>
      </xdr:nvSpPr>
      <xdr:spPr>
        <a:xfrm>
          <a:off x="11631085" y="2561167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11</a:t>
          </a:r>
        </a:p>
      </xdr:txBody>
    </xdr:sp>
    <xdr:clientData/>
  </xdr:twoCellAnchor>
  <xdr:twoCellAnchor>
    <xdr:from>
      <xdr:col>17</xdr:col>
      <xdr:colOff>137584</xdr:colOff>
      <xdr:row>13</xdr:row>
      <xdr:rowOff>95248</xdr:rowOff>
    </xdr:from>
    <xdr:to>
      <xdr:col>18</xdr:col>
      <xdr:colOff>198968</xdr:colOff>
      <xdr:row>16</xdr:row>
      <xdr:rowOff>190498</xdr:rowOff>
    </xdr:to>
    <xdr:sp macro="" textlink="">
      <xdr:nvSpPr>
        <xdr:cNvPr id="18" name="Овал 17">
          <a:extLst>
            <a:ext uri="{FF2B5EF4-FFF2-40B4-BE49-F238E27FC236}">
              <a16:creationId xmlns:a16="http://schemas.microsoft.com/office/drawing/2014/main" id="{18BD8159-018E-4F7C-8A6E-78366954DA68}"/>
            </a:ext>
          </a:extLst>
        </xdr:cNvPr>
        <xdr:cNvSpPr/>
      </xdr:nvSpPr>
      <xdr:spPr>
        <a:xfrm>
          <a:off x="12890501" y="2571748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12</a:t>
          </a:r>
        </a:p>
      </xdr:txBody>
    </xdr:sp>
    <xdr:clientData/>
  </xdr:twoCellAnchor>
  <xdr:twoCellAnchor>
    <xdr:from>
      <xdr:col>19</xdr:col>
      <xdr:colOff>42336</xdr:colOff>
      <xdr:row>13</xdr:row>
      <xdr:rowOff>84666</xdr:rowOff>
    </xdr:from>
    <xdr:to>
      <xdr:col>20</xdr:col>
      <xdr:colOff>103719</xdr:colOff>
      <xdr:row>16</xdr:row>
      <xdr:rowOff>179916</xdr:rowOff>
    </xdr:to>
    <xdr:sp macro="" textlink="">
      <xdr:nvSpPr>
        <xdr:cNvPr id="19" name="Овал 18">
          <a:extLst>
            <a:ext uri="{FF2B5EF4-FFF2-40B4-BE49-F238E27FC236}">
              <a16:creationId xmlns:a16="http://schemas.microsoft.com/office/drawing/2014/main" id="{1E303BDB-9C68-40EE-B66F-A691DC4E7ADA}"/>
            </a:ext>
          </a:extLst>
        </xdr:cNvPr>
        <xdr:cNvSpPr/>
      </xdr:nvSpPr>
      <xdr:spPr>
        <a:xfrm>
          <a:off x="14022919" y="2561166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13</a:t>
          </a:r>
        </a:p>
      </xdr:txBody>
    </xdr:sp>
    <xdr:clientData/>
  </xdr:twoCellAnchor>
  <xdr:twoCellAnchor>
    <xdr:from>
      <xdr:col>20</xdr:col>
      <xdr:colOff>289986</xdr:colOff>
      <xdr:row>17</xdr:row>
      <xdr:rowOff>162983</xdr:rowOff>
    </xdr:from>
    <xdr:to>
      <xdr:col>21</xdr:col>
      <xdr:colOff>351370</xdr:colOff>
      <xdr:row>21</xdr:row>
      <xdr:rowOff>67733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4AD6DD8E-1D21-49B7-95A3-2B0E1AC1134B}"/>
            </a:ext>
          </a:extLst>
        </xdr:cNvPr>
        <xdr:cNvSpPr/>
      </xdr:nvSpPr>
      <xdr:spPr>
        <a:xfrm>
          <a:off x="14884403" y="3401483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15</a:t>
          </a:r>
        </a:p>
      </xdr:txBody>
    </xdr:sp>
    <xdr:clientData/>
  </xdr:twoCellAnchor>
  <xdr:twoCellAnchor>
    <xdr:from>
      <xdr:col>18</xdr:col>
      <xdr:colOff>0</xdr:colOff>
      <xdr:row>22</xdr:row>
      <xdr:rowOff>0</xdr:rowOff>
    </xdr:from>
    <xdr:to>
      <xdr:col>19</xdr:col>
      <xdr:colOff>61384</xdr:colOff>
      <xdr:row>25</xdr:row>
      <xdr:rowOff>95250</xdr:rowOff>
    </xdr:to>
    <xdr:sp macro="" textlink="">
      <xdr:nvSpPr>
        <xdr:cNvPr id="21" name="Овал 20">
          <a:extLst>
            <a:ext uri="{FF2B5EF4-FFF2-40B4-BE49-F238E27FC236}">
              <a16:creationId xmlns:a16="http://schemas.microsoft.com/office/drawing/2014/main" id="{8D7D853C-62B3-4BB5-85C0-017DE65B5A56}"/>
            </a:ext>
          </a:extLst>
        </xdr:cNvPr>
        <xdr:cNvSpPr/>
      </xdr:nvSpPr>
      <xdr:spPr>
        <a:xfrm>
          <a:off x="13366750" y="4191000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14</a:t>
          </a:r>
        </a:p>
      </xdr:txBody>
    </xdr:sp>
    <xdr:clientData/>
  </xdr:twoCellAnchor>
  <xdr:twoCellAnchor>
    <xdr:from>
      <xdr:col>22</xdr:col>
      <xdr:colOff>433916</xdr:colOff>
      <xdr:row>17</xdr:row>
      <xdr:rowOff>158751</xdr:rowOff>
    </xdr:from>
    <xdr:to>
      <xdr:col>23</xdr:col>
      <xdr:colOff>495299</xdr:colOff>
      <xdr:row>21</xdr:row>
      <xdr:rowOff>63501</xdr:rowOff>
    </xdr:to>
    <xdr:sp macro="" textlink="">
      <xdr:nvSpPr>
        <xdr:cNvPr id="22" name="Овал 21">
          <a:extLst>
            <a:ext uri="{FF2B5EF4-FFF2-40B4-BE49-F238E27FC236}">
              <a16:creationId xmlns:a16="http://schemas.microsoft.com/office/drawing/2014/main" id="{B477443B-4136-41B5-A5A1-6EADB862AB07}"/>
            </a:ext>
          </a:extLst>
        </xdr:cNvPr>
        <xdr:cNvSpPr/>
      </xdr:nvSpPr>
      <xdr:spPr>
        <a:xfrm>
          <a:off x="16255999" y="3397251"/>
          <a:ext cx="675217" cy="666750"/>
        </a:xfrm>
        <a:prstGeom prst="ellipse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16</a:t>
          </a:r>
        </a:p>
      </xdr:txBody>
    </xdr:sp>
    <xdr:clientData/>
  </xdr:twoCellAnchor>
  <xdr:twoCellAnchor>
    <xdr:from>
      <xdr:col>6</xdr:col>
      <xdr:colOff>42333</xdr:colOff>
      <xdr:row>10</xdr:row>
      <xdr:rowOff>69851</xdr:rowOff>
    </xdr:from>
    <xdr:to>
      <xdr:col>7</xdr:col>
      <xdr:colOff>1</xdr:colOff>
      <xdr:row>12</xdr:row>
      <xdr:rowOff>169333</xdr:rowOff>
    </xdr:to>
    <xdr:cxnSp macro="">
      <xdr:nvCxnSpPr>
        <xdr:cNvPr id="24" name="Прямая со стрелкой 23">
          <a:extLst>
            <a:ext uri="{FF2B5EF4-FFF2-40B4-BE49-F238E27FC236}">
              <a16:creationId xmlns:a16="http://schemas.microsoft.com/office/drawing/2014/main" id="{A2FC3D0B-D7B5-405E-A133-CEC6C4DA52AA}"/>
            </a:ext>
          </a:extLst>
        </xdr:cNvPr>
        <xdr:cNvCxnSpPr>
          <a:endCxn id="8" idx="2"/>
        </xdr:cNvCxnSpPr>
      </xdr:nvCxnSpPr>
      <xdr:spPr>
        <a:xfrm flipV="1">
          <a:off x="6043083" y="1974851"/>
          <a:ext cx="571501" cy="48048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576335</xdr:colOff>
      <xdr:row>6</xdr:row>
      <xdr:rowOff>15875</xdr:rowOff>
    </xdr:from>
    <xdr:to>
      <xdr:col>9</xdr:col>
      <xdr:colOff>169333</xdr:colOff>
      <xdr:row>9</xdr:row>
      <xdr:rowOff>24619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F4653890-6FE5-4B5C-8FDD-DAD2F6917201}"/>
            </a:ext>
          </a:extLst>
        </xdr:cNvPr>
        <xdr:cNvCxnSpPr>
          <a:stCxn id="8" idx="7"/>
          <a:endCxn id="10" idx="2"/>
        </xdr:cNvCxnSpPr>
      </xdr:nvCxnSpPr>
      <xdr:spPr>
        <a:xfrm flipV="1">
          <a:off x="7190918" y="1158875"/>
          <a:ext cx="820665" cy="58024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61384</xdr:colOff>
      <xdr:row>10</xdr:row>
      <xdr:rowOff>69851</xdr:rowOff>
    </xdr:from>
    <xdr:to>
      <xdr:col>9</xdr:col>
      <xdr:colOff>194733</xdr:colOff>
      <xdr:row>10</xdr:row>
      <xdr:rowOff>94192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D107BFC1-5C63-4AB3-90FD-4E501317EF90}"/>
            </a:ext>
          </a:extLst>
        </xdr:cNvPr>
        <xdr:cNvCxnSpPr>
          <a:stCxn id="8" idx="6"/>
          <a:endCxn id="11" idx="2"/>
        </xdr:cNvCxnSpPr>
      </xdr:nvCxnSpPr>
      <xdr:spPr>
        <a:xfrm>
          <a:off x="7289801" y="1974851"/>
          <a:ext cx="747182" cy="2434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442384</xdr:colOff>
      <xdr:row>10</xdr:row>
      <xdr:rowOff>79375</xdr:rowOff>
    </xdr:from>
    <xdr:to>
      <xdr:col>13</xdr:col>
      <xdr:colOff>338667</xdr:colOff>
      <xdr:row>10</xdr:row>
      <xdr:rowOff>79376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5EFEBE6E-909B-4418-8B6E-6C0146CD4E86}"/>
            </a:ext>
          </a:extLst>
        </xdr:cNvPr>
        <xdr:cNvCxnSpPr>
          <a:stCxn id="12" idx="6"/>
          <a:endCxn id="13" idx="2"/>
        </xdr:cNvCxnSpPr>
      </xdr:nvCxnSpPr>
      <xdr:spPr>
        <a:xfrm flipV="1">
          <a:off x="10126134" y="1984375"/>
          <a:ext cx="510116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337610</xdr:colOff>
      <xdr:row>12</xdr:row>
      <xdr:rowOff>22226</xdr:rowOff>
    </xdr:from>
    <xdr:to>
      <xdr:col>15</xdr:col>
      <xdr:colOff>105835</xdr:colOff>
      <xdr:row>15</xdr:row>
      <xdr:rowOff>37042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8D86AF7E-D360-44F3-B861-7C2E4848026C}"/>
            </a:ext>
          </a:extLst>
        </xdr:cNvPr>
        <xdr:cNvCxnSpPr>
          <a:stCxn id="8" idx="4"/>
          <a:endCxn id="17" idx="2"/>
        </xdr:cNvCxnSpPr>
      </xdr:nvCxnSpPr>
      <xdr:spPr>
        <a:xfrm>
          <a:off x="6952193" y="2308226"/>
          <a:ext cx="4678892" cy="58631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248251</xdr:colOff>
      <xdr:row>18</xdr:row>
      <xdr:rowOff>182310</xdr:rowOff>
    </xdr:from>
    <xdr:to>
      <xdr:col>13</xdr:col>
      <xdr:colOff>374050</xdr:colOff>
      <xdr:row>19</xdr:row>
      <xdr:rowOff>2393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0E73BD4F-3122-48EB-B8E2-BAE93B4A3648}"/>
            </a:ext>
          </a:extLst>
        </xdr:cNvPr>
        <xdr:cNvCxnSpPr>
          <a:stCxn id="15" idx="7"/>
          <a:endCxn id="16" idx="1"/>
        </xdr:cNvCxnSpPr>
      </xdr:nvCxnSpPr>
      <xdr:spPr>
        <a:xfrm>
          <a:off x="9932001" y="3611310"/>
          <a:ext cx="739632" cy="1058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84666</xdr:colOff>
      <xdr:row>18</xdr:row>
      <xdr:rowOff>148167</xdr:rowOff>
    </xdr:from>
    <xdr:to>
      <xdr:col>9</xdr:col>
      <xdr:colOff>124883</xdr:colOff>
      <xdr:row>20</xdr:row>
      <xdr:rowOff>24342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DA28D5C1-01AE-4B40-88C4-121FCCC4E7AF}"/>
            </a:ext>
          </a:extLst>
        </xdr:cNvPr>
        <xdr:cNvCxnSpPr>
          <a:endCxn id="14" idx="2"/>
        </xdr:cNvCxnSpPr>
      </xdr:nvCxnSpPr>
      <xdr:spPr>
        <a:xfrm>
          <a:off x="7313083" y="3577167"/>
          <a:ext cx="654050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131395</xdr:colOff>
      <xdr:row>15</xdr:row>
      <xdr:rowOff>176465</xdr:rowOff>
    </xdr:from>
    <xdr:to>
      <xdr:col>7</xdr:col>
      <xdr:colOff>124283</xdr:colOff>
      <xdr:row>16</xdr:row>
      <xdr:rowOff>155852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A59523DE-B333-4320-B427-9A4F9D45934D}"/>
            </a:ext>
          </a:extLst>
        </xdr:cNvPr>
        <xdr:cNvCxnSpPr>
          <a:stCxn id="7" idx="5"/>
          <a:endCxn id="9" idx="1"/>
        </xdr:cNvCxnSpPr>
      </xdr:nvCxnSpPr>
      <xdr:spPr>
        <a:xfrm>
          <a:off x="6132145" y="3033965"/>
          <a:ext cx="606721" cy="1698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4836</xdr:colOff>
      <xdr:row>16</xdr:row>
      <xdr:rowOff>82273</xdr:rowOff>
    </xdr:from>
    <xdr:to>
      <xdr:col>20</xdr:col>
      <xdr:colOff>388869</xdr:colOff>
      <xdr:row>18</xdr:row>
      <xdr:rowOff>70126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5380C187-A581-4DE3-A63D-8C784088548D}"/>
            </a:ext>
          </a:extLst>
        </xdr:cNvPr>
        <xdr:cNvCxnSpPr>
          <a:stCxn id="19" idx="5"/>
          <a:endCxn id="20" idx="1"/>
        </xdr:cNvCxnSpPr>
      </xdr:nvCxnSpPr>
      <xdr:spPr>
        <a:xfrm>
          <a:off x="14599253" y="3130273"/>
          <a:ext cx="384033" cy="36885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576334</xdr:colOff>
      <xdr:row>21</xdr:row>
      <xdr:rowOff>67733</xdr:rowOff>
    </xdr:from>
    <xdr:to>
      <xdr:col>21</xdr:col>
      <xdr:colOff>13762</xdr:colOff>
      <xdr:row>24</xdr:row>
      <xdr:rowOff>188107</xdr:rowOff>
    </xdr:to>
    <xdr:cxnSp macro="">
      <xdr:nvCxnSpPr>
        <xdr:cNvPr id="52" name="Прямая со стрелкой 51">
          <a:extLst>
            <a:ext uri="{FF2B5EF4-FFF2-40B4-BE49-F238E27FC236}">
              <a16:creationId xmlns:a16="http://schemas.microsoft.com/office/drawing/2014/main" id="{462ACC85-C347-4590-8FE6-854F6B0025D1}"/>
            </a:ext>
          </a:extLst>
        </xdr:cNvPr>
        <xdr:cNvCxnSpPr>
          <a:stCxn id="21" idx="5"/>
          <a:endCxn id="20" idx="4"/>
        </xdr:cNvCxnSpPr>
      </xdr:nvCxnSpPr>
      <xdr:spPr>
        <a:xfrm flipV="1">
          <a:off x="13943084" y="4068233"/>
          <a:ext cx="1278928" cy="6918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351370</xdr:colOff>
      <xdr:row>19</xdr:row>
      <xdr:rowOff>111126</xdr:rowOff>
    </xdr:from>
    <xdr:to>
      <xdr:col>22</xdr:col>
      <xdr:colOff>433916</xdr:colOff>
      <xdr:row>19</xdr:row>
      <xdr:rowOff>115358</xdr:rowOff>
    </xdr:to>
    <xdr:cxnSp macro="">
      <xdr:nvCxnSpPr>
        <xdr:cNvPr id="55" name="Прямая со стрелкой 54">
          <a:extLst>
            <a:ext uri="{FF2B5EF4-FFF2-40B4-BE49-F238E27FC236}">
              <a16:creationId xmlns:a16="http://schemas.microsoft.com/office/drawing/2014/main" id="{D08996A3-270F-447A-930C-54FD05D44849}"/>
            </a:ext>
          </a:extLst>
        </xdr:cNvPr>
        <xdr:cNvCxnSpPr>
          <a:stCxn id="20" idx="6"/>
          <a:endCxn id="22" idx="2"/>
        </xdr:cNvCxnSpPr>
      </xdr:nvCxnSpPr>
      <xdr:spPr>
        <a:xfrm flipV="1">
          <a:off x="15559620" y="3730626"/>
          <a:ext cx="696379" cy="423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508000</xdr:colOff>
      <xdr:row>16</xdr:row>
      <xdr:rowOff>83608</xdr:rowOff>
    </xdr:from>
    <xdr:to>
      <xdr:col>8</xdr:col>
      <xdr:colOff>391583</xdr:colOff>
      <xdr:row>24</xdr:row>
      <xdr:rowOff>21167</xdr:rowOff>
    </xdr:to>
    <xdr:cxnSp macro="">
      <xdr:nvCxnSpPr>
        <xdr:cNvPr id="58" name="Прямая со стрелкой 57">
          <a:extLst>
            <a:ext uri="{FF2B5EF4-FFF2-40B4-BE49-F238E27FC236}">
              <a16:creationId xmlns:a16="http://schemas.microsoft.com/office/drawing/2014/main" id="{2F8A796A-6B05-4A19-8579-F123190C5E0F}"/>
            </a:ext>
          </a:extLst>
        </xdr:cNvPr>
        <xdr:cNvCxnSpPr>
          <a:stCxn id="7" idx="4"/>
        </xdr:cNvCxnSpPr>
      </xdr:nvCxnSpPr>
      <xdr:spPr>
        <a:xfrm>
          <a:off x="5894917" y="3131608"/>
          <a:ext cx="1725083" cy="1461559"/>
        </a:xfrm>
        <a:prstGeom prst="straightConnector1">
          <a:avLst/>
        </a:prstGeom>
        <a:ln>
          <a:solidFill>
            <a:srgbClr val="FF0000"/>
          </a:solidFill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381000</xdr:colOff>
      <xdr:row>23</xdr:row>
      <xdr:rowOff>142875</xdr:rowOff>
    </xdr:from>
    <xdr:to>
      <xdr:col>18</xdr:col>
      <xdr:colOff>0</xdr:colOff>
      <xdr:row>24</xdr:row>
      <xdr:rowOff>21167</xdr:rowOff>
    </xdr:to>
    <xdr:cxnSp macro="">
      <xdr:nvCxnSpPr>
        <xdr:cNvPr id="61" name="Прямая со стрелкой 60">
          <a:extLst>
            <a:ext uri="{FF2B5EF4-FFF2-40B4-BE49-F238E27FC236}">
              <a16:creationId xmlns:a16="http://schemas.microsoft.com/office/drawing/2014/main" id="{0A1A1E52-9733-4E87-814C-6C1858883662}"/>
            </a:ext>
          </a:extLst>
        </xdr:cNvPr>
        <xdr:cNvCxnSpPr>
          <a:endCxn id="21" idx="2"/>
        </xdr:cNvCxnSpPr>
      </xdr:nvCxnSpPr>
      <xdr:spPr>
        <a:xfrm flipV="1">
          <a:off x="7609417" y="4524375"/>
          <a:ext cx="5757333" cy="6879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230717</xdr:colOff>
      <xdr:row>6</xdr:row>
      <xdr:rowOff>15875</xdr:rowOff>
    </xdr:from>
    <xdr:to>
      <xdr:col>11</xdr:col>
      <xdr:colOff>479883</xdr:colOff>
      <xdr:row>9</xdr:row>
      <xdr:rowOff>34144</xdr:rowOff>
    </xdr:to>
    <xdr:cxnSp macro="">
      <xdr:nvCxnSpPr>
        <xdr:cNvPr id="67" name="Прямая со стрелкой 66">
          <a:extLst>
            <a:ext uri="{FF2B5EF4-FFF2-40B4-BE49-F238E27FC236}">
              <a16:creationId xmlns:a16="http://schemas.microsoft.com/office/drawing/2014/main" id="{47732AA4-BF2C-4AF6-B371-5F99258BAF9A}"/>
            </a:ext>
          </a:extLst>
        </xdr:cNvPr>
        <xdr:cNvCxnSpPr>
          <a:stCxn id="10" idx="6"/>
          <a:endCxn id="12" idx="1"/>
        </xdr:cNvCxnSpPr>
      </xdr:nvCxnSpPr>
      <xdr:spPr>
        <a:xfrm>
          <a:off x="8686800" y="1158875"/>
          <a:ext cx="863000" cy="58976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256117</xdr:colOff>
      <xdr:row>10</xdr:row>
      <xdr:rowOff>79376</xdr:rowOff>
    </xdr:from>
    <xdr:to>
      <xdr:col>11</xdr:col>
      <xdr:colOff>381000</xdr:colOff>
      <xdr:row>10</xdr:row>
      <xdr:rowOff>94192</xdr:rowOff>
    </xdr:to>
    <xdr:cxnSp macro="">
      <xdr:nvCxnSpPr>
        <xdr:cNvPr id="70" name="Прямая со стрелкой 69">
          <a:extLst>
            <a:ext uri="{FF2B5EF4-FFF2-40B4-BE49-F238E27FC236}">
              <a16:creationId xmlns:a16="http://schemas.microsoft.com/office/drawing/2014/main" id="{38BB78AC-942D-4B5D-926E-3CC41D24D8C8}"/>
            </a:ext>
          </a:extLst>
        </xdr:cNvPr>
        <xdr:cNvCxnSpPr>
          <a:stCxn id="11" idx="6"/>
          <a:endCxn id="12" idx="2"/>
        </xdr:cNvCxnSpPr>
      </xdr:nvCxnSpPr>
      <xdr:spPr>
        <a:xfrm flipV="1">
          <a:off x="8712200" y="1984376"/>
          <a:ext cx="738717" cy="1481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400050</xdr:colOff>
      <xdr:row>10</xdr:row>
      <xdr:rowOff>79375</xdr:rowOff>
    </xdr:from>
    <xdr:to>
      <xdr:col>15</xdr:col>
      <xdr:colOff>443444</xdr:colOff>
      <xdr:row>13</xdr:row>
      <xdr:rowOff>84667</xdr:rowOff>
    </xdr:to>
    <xdr:cxnSp macro="">
      <xdr:nvCxnSpPr>
        <xdr:cNvPr id="73" name="Прямая со стрелкой 72">
          <a:extLst>
            <a:ext uri="{FF2B5EF4-FFF2-40B4-BE49-F238E27FC236}">
              <a16:creationId xmlns:a16="http://schemas.microsoft.com/office/drawing/2014/main" id="{CFC8313C-A06A-4755-8843-9A52AB932611}"/>
            </a:ext>
          </a:extLst>
        </xdr:cNvPr>
        <xdr:cNvCxnSpPr>
          <a:stCxn id="13" idx="6"/>
          <a:endCxn id="17" idx="0"/>
        </xdr:cNvCxnSpPr>
      </xdr:nvCxnSpPr>
      <xdr:spPr>
        <a:xfrm>
          <a:off x="11311467" y="1984375"/>
          <a:ext cx="657227" cy="57679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167219</xdr:colOff>
      <xdr:row>15</xdr:row>
      <xdr:rowOff>37042</xdr:rowOff>
    </xdr:from>
    <xdr:to>
      <xdr:col>17</xdr:col>
      <xdr:colOff>137584</xdr:colOff>
      <xdr:row>15</xdr:row>
      <xdr:rowOff>47623</xdr:rowOff>
    </xdr:to>
    <xdr:cxnSp macro="">
      <xdr:nvCxnSpPr>
        <xdr:cNvPr id="76" name="Прямая со стрелкой 75">
          <a:extLst>
            <a:ext uri="{FF2B5EF4-FFF2-40B4-BE49-F238E27FC236}">
              <a16:creationId xmlns:a16="http://schemas.microsoft.com/office/drawing/2014/main" id="{003CE1FB-360F-4E7F-B3FE-26BC5E48A149}"/>
            </a:ext>
          </a:extLst>
        </xdr:cNvPr>
        <xdr:cNvCxnSpPr>
          <a:stCxn id="17" idx="6"/>
          <a:endCxn id="18" idx="2"/>
        </xdr:cNvCxnSpPr>
      </xdr:nvCxnSpPr>
      <xdr:spPr>
        <a:xfrm>
          <a:off x="12306302" y="2894542"/>
          <a:ext cx="584199" cy="10581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103719</xdr:colOff>
      <xdr:row>15</xdr:row>
      <xdr:rowOff>37041</xdr:rowOff>
    </xdr:from>
    <xdr:to>
      <xdr:col>21</xdr:col>
      <xdr:colOff>13762</xdr:colOff>
      <xdr:row>17</xdr:row>
      <xdr:rowOff>162983</xdr:rowOff>
    </xdr:to>
    <xdr:cxnSp macro="">
      <xdr:nvCxnSpPr>
        <xdr:cNvPr id="79" name="Прямая со стрелкой 78">
          <a:extLst>
            <a:ext uri="{FF2B5EF4-FFF2-40B4-BE49-F238E27FC236}">
              <a16:creationId xmlns:a16="http://schemas.microsoft.com/office/drawing/2014/main" id="{B4C8DD3D-E037-4FFE-B11D-450CE05FB692}"/>
            </a:ext>
          </a:extLst>
        </xdr:cNvPr>
        <xdr:cNvCxnSpPr>
          <a:stCxn id="19" idx="6"/>
          <a:endCxn id="20" idx="0"/>
        </xdr:cNvCxnSpPr>
      </xdr:nvCxnSpPr>
      <xdr:spPr>
        <a:xfrm>
          <a:off x="14698136" y="2894541"/>
          <a:ext cx="523876" cy="50694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576334</xdr:colOff>
      <xdr:row>19</xdr:row>
      <xdr:rowOff>115358</xdr:rowOff>
    </xdr:from>
    <xdr:to>
      <xdr:col>20</xdr:col>
      <xdr:colOff>289986</xdr:colOff>
      <xdr:row>22</xdr:row>
      <xdr:rowOff>97643</xdr:rowOff>
    </xdr:to>
    <xdr:cxnSp macro="">
      <xdr:nvCxnSpPr>
        <xdr:cNvPr id="82" name="Прямая со стрелкой 81">
          <a:extLst>
            <a:ext uri="{FF2B5EF4-FFF2-40B4-BE49-F238E27FC236}">
              <a16:creationId xmlns:a16="http://schemas.microsoft.com/office/drawing/2014/main" id="{8B8B946C-E9FE-436F-9D48-C6C6C9F54370}"/>
            </a:ext>
          </a:extLst>
        </xdr:cNvPr>
        <xdr:cNvCxnSpPr>
          <a:stCxn id="21" idx="7"/>
          <a:endCxn id="20" idx="2"/>
        </xdr:cNvCxnSpPr>
      </xdr:nvCxnSpPr>
      <xdr:spPr>
        <a:xfrm flipV="1">
          <a:off x="13943084" y="3734858"/>
          <a:ext cx="941319" cy="55378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601734</xdr:colOff>
      <xdr:row>11</xdr:row>
      <xdr:rowOff>124608</xdr:rowOff>
    </xdr:from>
    <xdr:to>
      <xdr:col>11</xdr:col>
      <xdr:colOff>479883</xdr:colOff>
      <xdr:row>16</xdr:row>
      <xdr:rowOff>155852</xdr:rowOff>
    </xdr:to>
    <xdr:cxnSp macro="">
      <xdr:nvCxnSpPr>
        <xdr:cNvPr id="85" name="Прямая со стрелкой 84">
          <a:extLst>
            <a:ext uri="{FF2B5EF4-FFF2-40B4-BE49-F238E27FC236}">
              <a16:creationId xmlns:a16="http://schemas.microsoft.com/office/drawing/2014/main" id="{AEFE0639-0D0D-4BF1-8116-06ED6070B391}"/>
            </a:ext>
          </a:extLst>
        </xdr:cNvPr>
        <xdr:cNvCxnSpPr>
          <a:stCxn id="9" idx="7"/>
          <a:endCxn id="12" idx="3"/>
        </xdr:cNvCxnSpPr>
      </xdr:nvCxnSpPr>
      <xdr:spPr>
        <a:xfrm flipV="1">
          <a:off x="7216317" y="2220108"/>
          <a:ext cx="2333483" cy="98374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186267</xdr:colOff>
      <xdr:row>20</xdr:row>
      <xdr:rowOff>24342</xdr:rowOff>
    </xdr:from>
    <xdr:to>
      <xdr:col>11</xdr:col>
      <xdr:colOff>285750</xdr:colOff>
      <xdr:row>20</xdr:row>
      <xdr:rowOff>37042</xdr:rowOff>
    </xdr:to>
    <xdr:cxnSp macro="">
      <xdr:nvCxnSpPr>
        <xdr:cNvPr id="88" name="Прямая со стрелкой 87">
          <a:extLst>
            <a:ext uri="{FF2B5EF4-FFF2-40B4-BE49-F238E27FC236}">
              <a16:creationId xmlns:a16="http://schemas.microsoft.com/office/drawing/2014/main" id="{AD01D560-E6B0-41D6-B042-8284525F42E3}"/>
            </a:ext>
          </a:extLst>
        </xdr:cNvPr>
        <xdr:cNvCxnSpPr>
          <a:stCxn id="14" idx="6"/>
          <a:endCxn id="15" idx="2"/>
        </xdr:cNvCxnSpPr>
      </xdr:nvCxnSpPr>
      <xdr:spPr>
        <a:xfrm>
          <a:off x="8642350" y="3834342"/>
          <a:ext cx="713317" cy="127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248251</xdr:colOff>
      <xdr:row>21</xdr:row>
      <xdr:rowOff>82274</xdr:rowOff>
    </xdr:from>
    <xdr:to>
      <xdr:col>13</xdr:col>
      <xdr:colOff>374050</xdr:colOff>
      <xdr:row>21</xdr:row>
      <xdr:rowOff>92857</xdr:rowOff>
    </xdr:to>
    <xdr:cxnSp macro="">
      <xdr:nvCxnSpPr>
        <xdr:cNvPr id="91" name="Прямая со стрелкой 90">
          <a:extLst>
            <a:ext uri="{FF2B5EF4-FFF2-40B4-BE49-F238E27FC236}">
              <a16:creationId xmlns:a16="http://schemas.microsoft.com/office/drawing/2014/main" id="{5FBFA37C-A21A-4097-A2FD-9F1B5E0F0B97}"/>
            </a:ext>
          </a:extLst>
        </xdr:cNvPr>
        <xdr:cNvCxnSpPr>
          <a:stCxn id="15" idx="5"/>
          <a:endCxn id="16" idx="3"/>
        </xdr:cNvCxnSpPr>
      </xdr:nvCxnSpPr>
      <xdr:spPr>
        <a:xfrm>
          <a:off x="9932001" y="4082774"/>
          <a:ext cx="739632" cy="1058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336550</xdr:colOff>
      <xdr:row>16</xdr:row>
      <xdr:rowOff>179917</xdr:rowOff>
    </xdr:from>
    <xdr:to>
      <xdr:col>15</xdr:col>
      <xdr:colOff>443444</xdr:colOff>
      <xdr:row>20</xdr:row>
      <xdr:rowOff>47625</xdr:rowOff>
    </xdr:to>
    <xdr:cxnSp macro="">
      <xdr:nvCxnSpPr>
        <xdr:cNvPr id="94" name="Прямая со стрелкой 93">
          <a:extLst>
            <a:ext uri="{FF2B5EF4-FFF2-40B4-BE49-F238E27FC236}">
              <a16:creationId xmlns:a16="http://schemas.microsoft.com/office/drawing/2014/main" id="{64E01F80-19E4-4F2D-A560-7E054F30B9ED}"/>
            </a:ext>
          </a:extLst>
        </xdr:cNvPr>
        <xdr:cNvCxnSpPr>
          <a:stCxn id="16" idx="6"/>
          <a:endCxn id="17" idx="4"/>
        </xdr:cNvCxnSpPr>
      </xdr:nvCxnSpPr>
      <xdr:spPr>
        <a:xfrm flipV="1">
          <a:off x="11247967" y="3227917"/>
          <a:ext cx="720727" cy="62970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100085</xdr:colOff>
      <xdr:row>16</xdr:row>
      <xdr:rowOff>82273</xdr:rowOff>
    </xdr:from>
    <xdr:to>
      <xdr:col>19</xdr:col>
      <xdr:colOff>141219</xdr:colOff>
      <xdr:row>16</xdr:row>
      <xdr:rowOff>92855</xdr:rowOff>
    </xdr:to>
    <xdr:cxnSp macro="">
      <xdr:nvCxnSpPr>
        <xdr:cNvPr id="97" name="Прямая со стрелкой 96">
          <a:extLst>
            <a:ext uri="{FF2B5EF4-FFF2-40B4-BE49-F238E27FC236}">
              <a16:creationId xmlns:a16="http://schemas.microsoft.com/office/drawing/2014/main" id="{544CF0C7-F955-41D2-9329-AC4932A33290}"/>
            </a:ext>
          </a:extLst>
        </xdr:cNvPr>
        <xdr:cNvCxnSpPr>
          <a:stCxn id="18" idx="5"/>
          <a:endCxn id="19" idx="3"/>
        </xdr:cNvCxnSpPr>
      </xdr:nvCxnSpPr>
      <xdr:spPr>
        <a:xfrm flipV="1">
          <a:off x="13466835" y="3130273"/>
          <a:ext cx="654967" cy="1058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100085</xdr:colOff>
      <xdr:row>13</xdr:row>
      <xdr:rowOff>182309</xdr:rowOff>
    </xdr:from>
    <xdr:to>
      <xdr:col>19</xdr:col>
      <xdr:colOff>141219</xdr:colOff>
      <xdr:row>14</xdr:row>
      <xdr:rowOff>2391</xdr:rowOff>
    </xdr:to>
    <xdr:cxnSp macro="">
      <xdr:nvCxnSpPr>
        <xdr:cNvPr id="103" name="Прямая со стрелкой 102">
          <a:extLst>
            <a:ext uri="{FF2B5EF4-FFF2-40B4-BE49-F238E27FC236}">
              <a16:creationId xmlns:a16="http://schemas.microsoft.com/office/drawing/2014/main" id="{BDF75AE9-57BD-495B-92D6-DBF7C9D49F84}"/>
            </a:ext>
          </a:extLst>
        </xdr:cNvPr>
        <xdr:cNvCxnSpPr>
          <a:stCxn id="18" idx="7"/>
          <a:endCxn id="19" idx="1"/>
        </xdr:cNvCxnSpPr>
      </xdr:nvCxnSpPr>
      <xdr:spPr>
        <a:xfrm flipV="1">
          <a:off x="13466835" y="2658809"/>
          <a:ext cx="654967" cy="10582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46568</xdr:colOff>
      <xdr:row>11</xdr:row>
      <xdr:rowOff>46566</xdr:rowOff>
    </xdr:from>
    <xdr:to>
      <xdr:col>6</xdr:col>
      <xdr:colOff>448734</xdr:colOff>
      <xdr:row>12</xdr:row>
      <xdr:rowOff>110065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5B5E4D44-40A1-4368-9521-36B2C67C9AFB}"/>
            </a:ext>
          </a:extLst>
        </xdr:cNvPr>
        <xdr:cNvSpPr txBox="1"/>
      </xdr:nvSpPr>
      <xdr:spPr>
        <a:xfrm>
          <a:off x="6047318" y="2142066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А</a:t>
          </a:r>
          <a:r>
            <a:rPr lang="en-US" sz="1100"/>
            <a:t>:1</a:t>
          </a:r>
          <a:endParaRPr lang="ru-RU" sz="1100"/>
        </a:p>
      </xdr:txBody>
    </xdr:sp>
    <xdr:clientData/>
  </xdr:twoCellAnchor>
  <xdr:twoCellAnchor>
    <xdr:from>
      <xdr:col>8</xdr:col>
      <xdr:colOff>105834</xdr:colOff>
      <xdr:row>6</xdr:row>
      <xdr:rowOff>169333</xdr:rowOff>
    </xdr:from>
    <xdr:to>
      <xdr:col>8</xdr:col>
      <xdr:colOff>508000</xdr:colOff>
      <xdr:row>8</xdr:row>
      <xdr:rowOff>42332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6C106020-BB71-4893-ABEB-A46F2B0E8038}"/>
            </a:ext>
          </a:extLst>
        </xdr:cNvPr>
        <xdr:cNvSpPr txBox="1"/>
      </xdr:nvSpPr>
      <xdr:spPr>
        <a:xfrm>
          <a:off x="7334251" y="1312333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Б</a:t>
          </a:r>
          <a:r>
            <a:rPr lang="en-US" sz="1100"/>
            <a:t>:3</a:t>
          </a:r>
          <a:endParaRPr lang="ru-RU" sz="1100"/>
        </a:p>
      </xdr:txBody>
    </xdr:sp>
    <xdr:clientData/>
  </xdr:twoCellAnchor>
  <xdr:twoCellAnchor>
    <xdr:from>
      <xdr:col>8</xdr:col>
      <xdr:colOff>201083</xdr:colOff>
      <xdr:row>9</xdr:row>
      <xdr:rowOff>116416</xdr:rowOff>
    </xdr:from>
    <xdr:to>
      <xdr:col>8</xdr:col>
      <xdr:colOff>603249</xdr:colOff>
      <xdr:row>10</xdr:row>
      <xdr:rowOff>179915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ADA4222E-0D64-4E0D-BBD2-CD5D5E7FEE31}"/>
            </a:ext>
          </a:extLst>
        </xdr:cNvPr>
        <xdr:cNvSpPr txBox="1"/>
      </xdr:nvSpPr>
      <xdr:spPr>
        <a:xfrm>
          <a:off x="7429500" y="1830916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Г</a:t>
          </a:r>
          <a:r>
            <a:rPr lang="en-US" sz="1100"/>
            <a:t>:</a:t>
          </a:r>
          <a:r>
            <a:rPr lang="ru-RU" sz="1100"/>
            <a:t>6</a:t>
          </a:r>
        </a:p>
      </xdr:txBody>
    </xdr:sp>
    <xdr:clientData/>
  </xdr:twoCellAnchor>
  <xdr:twoCellAnchor>
    <xdr:from>
      <xdr:col>11</xdr:col>
      <xdr:colOff>349249</xdr:colOff>
      <xdr:row>13</xdr:row>
      <xdr:rowOff>63500</xdr:rowOff>
    </xdr:from>
    <xdr:to>
      <xdr:col>12</xdr:col>
      <xdr:colOff>137582</xdr:colOff>
      <xdr:row>14</xdr:row>
      <xdr:rowOff>126999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7F05B2D-A549-43ED-B1C9-5B2A9612FF8D}"/>
            </a:ext>
          </a:extLst>
        </xdr:cNvPr>
        <xdr:cNvSpPr txBox="1"/>
      </xdr:nvSpPr>
      <xdr:spPr>
        <a:xfrm>
          <a:off x="9419166" y="2540000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И</a:t>
          </a:r>
          <a:r>
            <a:rPr lang="en-US" sz="1100"/>
            <a:t>:1</a:t>
          </a:r>
          <a:endParaRPr lang="ru-RU" sz="1100"/>
        </a:p>
      </xdr:txBody>
    </xdr:sp>
    <xdr:clientData/>
  </xdr:twoCellAnchor>
  <xdr:twoCellAnchor>
    <xdr:from>
      <xdr:col>12</xdr:col>
      <xdr:colOff>476250</xdr:colOff>
      <xdr:row>9</xdr:row>
      <xdr:rowOff>0</xdr:rowOff>
    </xdr:from>
    <xdr:to>
      <xdr:col>13</xdr:col>
      <xdr:colOff>264583</xdr:colOff>
      <xdr:row>10</xdr:row>
      <xdr:rowOff>63499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50A2009A-6199-46FC-98A0-73BCE0424805}"/>
            </a:ext>
          </a:extLst>
        </xdr:cNvPr>
        <xdr:cNvSpPr txBox="1"/>
      </xdr:nvSpPr>
      <xdr:spPr>
        <a:xfrm>
          <a:off x="10160000" y="1714500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Д</a:t>
          </a:r>
          <a:r>
            <a:rPr lang="en-US" sz="1100"/>
            <a:t>:</a:t>
          </a:r>
          <a:r>
            <a:rPr lang="ru-RU" sz="1100"/>
            <a:t>9</a:t>
          </a:r>
        </a:p>
      </xdr:txBody>
    </xdr:sp>
    <xdr:clientData/>
  </xdr:twoCellAnchor>
  <xdr:twoCellAnchor>
    <xdr:from>
      <xdr:col>6</xdr:col>
      <xdr:colOff>222250</xdr:colOff>
      <xdr:row>15</xdr:row>
      <xdr:rowOff>116416</xdr:rowOff>
    </xdr:from>
    <xdr:to>
      <xdr:col>7</xdr:col>
      <xdr:colOff>10583</xdr:colOff>
      <xdr:row>16</xdr:row>
      <xdr:rowOff>179915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70983E7-1F48-46A0-BCCE-C2B93E730427}"/>
            </a:ext>
          </a:extLst>
        </xdr:cNvPr>
        <xdr:cNvSpPr txBox="1"/>
      </xdr:nvSpPr>
      <xdr:spPr>
        <a:xfrm>
          <a:off x="6223000" y="2973916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В</a:t>
          </a:r>
          <a:r>
            <a:rPr lang="en-US" sz="1100"/>
            <a:t>:</a:t>
          </a:r>
          <a:r>
            <a:rPr lang="ru-RU" sz="1100"/>
            <a:t>2</a:t>
          </a:r>
        </a:p>
      </xdr:txBody>
    </xdr:sp>
    <xdr:clientData/>
  </xdr:twoCellAnchor>
  <xdr:twoCellAnchor>
    <xdr:from>
      <xdr:col>8</xdr:col>
      <xdr:colOff>169332</xdr:colOff>
      <xdr:row>18</xdr:row>
      <xdr:rowOff>116417</xdr:rowOff>
    </xdr:from>
    <xdr:to>
      <xdr:col>8</xdr:col>
      <xdr:colOff>571498</xdr:colOff>
      <xdr:row>19</xdr:row>
      <xdr:rowOff>179916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0B0EC5F-14FA-4384-A2E7-8EA2B9350557}"/>
            </a:ext>
          </a:extLst>
        </xdr:cNvPr>
        <xdr:cNvSpPr txBox="1"/>
      </xdr:nvSpPr>
      <xdr:spPr>
        <a:xfrm>
          <a:off x="7397749" y="3545417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Н</a:t>
          </a:r>
          <a:r>
            <a:rPr lang="en-US" sz="1100"/>
            <a:t>:</a:t>
          </a:r>
          <a:r>
            <a:rPr lang="ru-RU" sz="1100"/>
            <a:t>4</a:t>
          </a:r>
        </a:p>
      </xdr:txBody>
    </xdr:sp>
    <xdr:clientData/>
  </xdr:twoCellAnchor>
  <xdr:twoCellAnchor>
    <xdr:from>
      <xdr:col>12</xdr:col>
      <xdr:colOff>359833</xdr:colOff>
      <xdr:row>17</xdr:row>
      <xdr:rowOff>52918</xdr:rowOff>
    </xdr:from>
    <xdr:to>
      <xdr:col>13</xdr:col>
      <xdr:colOff>201084</xdr:colOff>
      <xdr:row>18</xdr:row>
      <xdr:rowOff>137584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7C46EA-A55A-4E58-B06B-74200E881FAE}"/>
            </a:ext>
          </a:extLst>
        </xdr:cNvPr>
        <xdr:cNvSpPr txBox="1"/>
      </xdr:nvSpPr>
      <xdr:spPr>
        <a:xfrm>
          <a:off x="10043583" y="3291418"/>
          <a:ext cx="455084" cy="2751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Ж</a:t>
          </a:r>
          <a:r>
            <a:rPr lang="en-US" sz="1100"/>
            <a:t>:</a:t>
          </a:r>
          <a:r>
            <a:rPr lang="ru-RU" sz="1100"/>
            <a:t>7</a:t>
          </a:r>
        </a:p>
      </xdr:txBody>
    </xdr:sp>
    <xdr:clientData/>
  </xdr:twoCellAnchor>
  <xdr:twoCellAnchor>
    <xdr:from>
      <xdr:col>12</xdr:col>
      <xdr:colOff>497417</xdr:colOff>
      <xdr:row>23</xdr:row>
      <xdr:rowOff>31750</xdr:rowOff>
    </xdr:from>
    <xdr:to>
      <xdr:col>13</xdr:col>
      <xdr:colOff>285750</xdr:colOff>
      <xdr:row>24</xdr:row>
      <xdr:rowOff>95249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E9FDCD27-95C7-4146-AA91-B1ACCA620396}"/>
            </a:ext>
          </a:extLst>
        </xdr:cNvPr>
        <xdr:cNvSpPr txBox="1"/>
      </xdr:nvSpPr>
      <xdr:spPr>
        <a:xfrm>
          <a:off x="10181167" y="4413250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Л</a:t>
          </a:r>
          <a:r>
            <a:rPr lang="en-US" sz="1100"/>
            <a:t>:</a:t>
          </a:r>
          <a:r>
            <a:rPr lang="ru-RU" sz="1100"/>
            <a:t>8</a:t>
          </a:r>
        </a:p>
      </xdr:txBody>
    </xdr:sp>
    <xdr:clientData/>
  </xdr:twoCellAnchor>
  <xdr:twoCellAnchor>
    <xdr:from>
      <xdr:col>19</xdr:col>
      <xdr:colOff>359834</xdr:colOff>
      <xdr:row>22</xdr:row>
      <xdr:rowOff>116417</xdr:rowOff>
    </xdr:from>
    <xdr:to>
      <xdr:col>20</xdr:col>
      <xdr:colOff>148166</xdr:colOff>
      <xdr:row>23</xdr:row>
      <xdr:rowOff>179916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44EA156-FBE9-461B-90FA-DC36EBB1C220}"/>
            </a:ext>
          </a:extLst>
        </xdr:cNvPr>
        <xdr:cNvSpPr txBox="1"/>
      </xdr:nvSpPr>
      <xdr:spPr>
        <a:xfrm>
          <a:off x="14340417" y="4307417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О</a:t>
          </a:r>
          <a:r>
            <a:rPr lang="en-US" sz="1100"/>
            <a:t>:</a:t>
          </a:r>
          <a:r>
            <a:rPr lang="ru-RU" sz="1100"/>
            <a:t>5</a:t>
          </a:r>
        </a:p>
      </xdr:txBody>
    </xdr:sp>
    <xdr:clientData/>
  </xdr:twoCellAnchor>
  <xdr:twoCellAnchor>
    <xdr:from>
      <xdr:col>21</xdr:col>
      <xdr:colOff>476249</xdr:colOff>
      <xdr:row>18</xdr:row>
      <xdr:rowOff>4</xdr:rowOff>
    </xdr:from>
    <xdr:to>
      <xdr:col>22</xdr:col>
      <xdr:colOff>285750</xdr:colOff>
      <xdr:row>19</xdr:row>
      <xdr:rowOff>52921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3FF5100-C74F-42D2-8E1A-711C4D75F2CE}"/>
            </a:ext>
          </a:extLst>
        </xdr:cNvPr>
        <xdr:cNvSpPr txBox="1"/>
      </xdr:nvSpPr>
      <xdr:spPr>
        <a:xfrm>
          <a:off x="16061530" y="3429004"/>
          <a:ext cx="416720" cy="2434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М</a:t>
          </a:r>
          <a:r>
            <a:rPr lang="en-US" sz="1100"/>
            <a:t>:</a:t>
          </a:r>
          <a:r>
            <a:rPr lang="ru-RU" sz="1100"/>
            <a:t>3</a:t>
          </a:r>
        </a:p>
      </xdr:txBody>
    </xdr:sp>
    <xdr:clientData/>
  </xdr:twoCellAnchor>
  <xdr:twoCellAnchor>
    <xdr:from>
      <xdr:col>19</xdr:col>
      <xdr:colOff>444500</xdr:colOff>
      <xdr:row>17</xdr:row>
      <xdr:rowOff>21167</xdr:rowOff>
    </xdr:from>
    <xdr:to>
      <xdr:col>20</xdr:col>
      <xdr:colOff>232832</xdr:colOff>
      <xdr:row>18</xdr:row>
      <xdr:rowOff>84666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4DA499B-4693-473B-B948-984C24AD0869}"/>
            </a:ext>
          </a:extLst>
        </xdr:cNvPr>
        <xdr:cNvSpPr txBox="1"/>
      </xdr:nvSpPr>
      <xdr:spPr>
        <a:xfrm>
          <a:off x="14425083" y="3259667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О</a:t>
          </a:r>
          <a:r>
            <a:rPr lang="en-US" sz="1100"/>
            <a:t>:</a:t>
          </a:r>
          <a:r>
            <a:rPr lang="ru-RU" sz="1100"/>
            <a:t>5</a:t>
          </a:r>
        </a:p>
      </xdr:txBody>
    </xdr:sp>
    <xdr:clientData/>
  </xdr:twoCellAnchor>
  <xdr:twoCellAnchor>
    <xdr:from>
      <xdr:col>18</xdr:col>
      <xdr:colOff>190500</xdr:colOff>
      <xdr:row>12</xdr:row>
      <xdr:rowOff>95250</xdr:rowOff>
    </xdr:from>
    <xdr:to>
      <xdr:col>18</xdr:col>
      <xdr:colOff>592666</xdr:colOff>
      <xdr:row>13</xdr:row>
      <xdr:rowOff>158749</xdr:rowOff>
    </xdr:to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6B584C60-A19D-45B4-9B14-3D93D1650EFD}"/>
            </a:ext>
          </a:extLst>
        </xdr:cNvPr>
        <xdr:cNvSpPr txBox="1"/>
      </xdr:nvSpPr>
      <xdr:spPr>
        <a:xfrm>
          <a:off x="13557250" y="2381250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К</a:t>
          </a:r>
          <a:r>
            <a:rPr lang="en-US" sz="1100"/>
            <a:t>:</a:t>
          </a:r>
          <a:r>
            <a:rPr lang="ru-RU" sz="1100"/>
            <a:t>2</a:t>
          </a:r>
        </a:p>
      </xdr:txBody>
    </xdr:sp>
    <xdr:clientData/>
  </xdr:twoCellAnchor>
  <xdr:twoCellAnchor>
    <xdr:from>
      <xdr:col>16</xdr:col>
      <xdr:colOff>222250</xdr:colOff>
      <xdr:row>13</xdr:row>
      <xdr:rowOff>105834</xdr:rowOff>
    </xdr:from>
    <xdr:to>
      <xdr:col>17</xdr:col>
      <xdr:colOff>10582</xdr:colOff>
      <xdr:row>14</xdr:row>
      <xdr:rowOff>169333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FE6C1530-B874-4EE4-B419-7BC7C3BF14D1}"/>
            </a:ext>
          </a:extLst>
        </xdr:cNvPr>
        <xdr:cNvSpPr txBox="1"/>
      </xdr:nvSpPr>
      <xdr:spPr>
        <a:xfrm>
          <a:off x="12361333" y="2582334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З</a:t>
          </a:r>
          <a:r>
            <a:rPr lang="en-US" sz="1100"/>
            <a:t>:</a:t>
          </a:r>
          <a:r>
            <a:rPr lang="ru-RU" sz="1100"/>
            <a:t>4</a:t>
          </a:r>
        </a:p>
      </xdr:txBody>
    </xdr:sp>
    <xdr:clientData/>
  </xdr:twoCellAnchor>
  <xdr:twoCellAnchor>
    <xdr:from>
      <xdr:col>10</xdr:col>
      <xdr:colOff>306917</xdr:colOff>
      <xdr:row>19</xdr:row>
      <xdr:rowOff>52917</xdr:rowOff>
    </xdr:from>
    <xdr:to>
      <xdr:col>11</xdr:col>
      <xdr:colOff>95249</xdr:colOff>
      <xdr:row>20</xdr:row>
      <xdr:rowOff>116416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1DF4622-4396-4B29-85B7-F03ECC5E27BB}"/>
            </a:ext>
          </a:extLst>
        </xdr:cNvPr>
        <xdr:cNvSpPr txBox="1"/>
      </xdr:nvSpPr>
      <xdr:spPr>
        <a:xfrm>
          <a:off x="8763000" y="3672417"/>
          <a:ext cx="402166" cy="253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Е</a:t>
          </a:r>
          <a:r>
            <a:rPr lang="en-US" sz="1100"/>
            <a:t>:1</a:t>
          </a:r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zoomScale="80" zoomScaleNormal="80" workbookViewId="0">
      <selection activeCell="D20" sqref="D20"/>
    </sheetView>
  </sheetViews>
  <sheetFormatPr defaultRowHeight="15" x14ac:dyDescent="0.25"/>
  <cols>
    <col min="1" max="1" width="27.85546875" customWidth="1"/>
    <col min="2" max="2" width="26.7109375" customWidth="1"/>
    <col min="3" max="3" width="15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7</v>
      </c>
    </row>
    <row r="3" spans="1:2" x14ac:dyDescent="0.25">
      <c r="A3" s="1" t="s">
        <v>3</v>
      </c>
      <c r="B3" s="1" t="s">
        <v>8</v>
      </c>
    </row>
    <row r="4" spans="1:2" x14ac:dyDescent="0.25">
      <c r="A4" s="1" t="s">
        <v>2</v>
      </c>
      <c r="B4" s="1" t="s">
        <v>9</v>
      </c>
    </row>
    <row r="5" spans="1:2" x14ac:dyDescent="0.25">
      <c r="A5" s="1" t="s">
        <v>3</v>
      </c>
      <c r="B5" s="1" t="s">
        <v>10</v>
      </c>
    </row>
    <row r="6" spans="1:2" x14ac:dyDescent="0.25">
      <c r="A6" s="1" t="s">
        <v>4</v>
      </c>
      <c r="B6" s="1" t="s">
        <v>11</v>
      </c>
    </row>
    <row r="7" spans="1:2" x14ac:dyDescent="0.25">
      <c r="A7" s="1" t="s">
        <v>5</v>
      </c>
      <c r="B7" s="1" t="s">
        <v>12</v>
      </c>
    </row>
    <row r="8" spans="1:2" x14ac:dyDescent="0.25">
      <c r="A8" s="1" t="s">
        <v>6</v>
      </c>
      <c r="B8" s="1" t="s">
        <v>13</v>
      </c>
    </row>
    <row r="9" spans="1:2" x14ac:dyDescent="0.25">
      <c r="A9" s="1" t="s">
        <v>14</v>
      </c>
      <c r="B9" s="1" t="s">
        <v>20</v>
      </c>
    </row>
    <row r="10" spans="1:2" x14ac:dyDescent="0.25">
      <c r="A10" s="1" t="s">
        <v>15</v>
      </c>
      <c r="B10" s="1" t="s">
        <v>21</v>
      </c>
    </row>
    <row r="11" spans="1:2" x14ac:dyDescent="0.25">
      <c r="A11" s="1" t="s">
        <v>16</v>
      </c>
      <c r="B11" s="1" t="s">
        <v>22</v>
      </c>
    </row>
    <row r="12" spans="1:2" x14ac:dyDescent="0.25">
      <c r="A12" s="1" t="s">
        <v>17</v>
      </c>
      <c r="B12" s="1" t="s">
        <v>23</v>
      </c>
    </row>
    <row r="13" spans="1:2" x14ac:dyDescent="0.25">
      <c r="A13" s="1" t="s">
        <v>2</v>
      </c>
      <c r="B13" s="1" t="s">
        <v>24</v>
      </c>
    </row>
    <row r="14" spans="1:2" x14ac:dyDescent="0.25">
      <c r="A14" s="1" t="s">
        <v>18</v>
      </c>
      <c r="B14" s="1" t="s">
        <v>25</v>
      </c>
    </row>
    <row r="15" spans="1:2" x14ac:dyDescent="0.25">
      <c r="A15" s="1" t="s">
        <v>19</v>
      </c>
      <c r="B15" s="1" t="s">
        <v>26</v>
      </c>
    </row>
    <row r="18" spans="1:3" x14ac:dyDescent="0.25">
      <c r="A18" s="2" t="s">
        <v>27</v>
      </c>
      <c r="B18" s="2" t="s">
        <v>28</v>
      </c>
    </row>
    <row r="19" spans="1:3" x14ac:dyDescent="0.25">
      <c r="A19" s="4" t="s">
        <v>29</v>
      </c>
      <c r="B19" s="3">
        <f>1+3+9+4+2+5+3</f>
        <v>27</v>
      </c>
    </row>
    <row r="20" spans="1:3" x14ac:dyDescent="0.25">
      <c r="A20" s="4" t="s">
        <v>30</v>
      </c>
      <c r="B20" s="3">
        <f>1+6+9+4+2+5+3</f>
        <v>30</v>
      </c>
    </row>
    <row r="21" spans="1:3" x14ac:dyDescent="0.25">
      <c r="A21" s="4" t="s">
        <v>31</v>
      </c>
      <c r="B21" s="3">
        <f>2+4+1+7+4+2+5+3</f>
        <v>28</v>
      </c>
    </row>
    <row r="22" spans="1:3" x14ac:dyDescent="0.25">
      <c r="A22" s="4" t="s">
        <v>32</v>
      </c>
      <c r="B22" s="3">
        <f>2+9+4+2+5+3</f>
        <v>25</v>
      </c>
    </row>
    <row r="23" spans="1:3" x14ac:dyDescent="0.25">
      <c r="A23" s="4" t="s">
        <v>33</v>
      </c>
      <c r="B23" s="3">
        <f>1+1+4+2+5+3</f>
        <v>16</v>
      </c>
    </row>
    <row r="24" spans="1:3" x14ac:dyDescent="0.25">
      <c r="A24" s="7" t="s">
        <v>34</v>
      </c>
      <c r="B24" s="3">
        <f>8+5+3</f>
        <v>16</v>
      </c>
    </row>
    <row r="25" spans="1:3" x14ac:dyDescent="0.25">
      <c r="A25" s="9" t="s">
        <v>41</v>
      </c>
      <c r="B25" s="6">
        <f>MIN(B19:B24)</f>
        <v>16</v>
      </c>
    </row>
    <row r="26" spans="1:3" x14ac:dyDescent="0.25">
      <c r="A26" s="5"/>
    </row>
    <row r="27" spans="1:3" x14ac:dyDescent="0.25">
      <c r="A27" s="3" t="s">
        <v>35</v>
      </c>
      <c r="B27" s="3" t="s">
        <v>36</v>
      </c>
      <c r="C27" s="3" t="s">
        <v>37</v>
      </c>
    </row>
    <row r="28" spans="1:3" x14ac:dyDescent="0.25">
      <c r="A28" s="3">
        <v>1</v>
      </c>
      <c r="B28" s="3">
        <v>2</v>
      </c>
      <c r="C28" s="3">
        <v>1</v>
      </c>
    </row>
    <row r="29" spans="1:3" x14ac:dyDescent="0.25">
      <c r="A29" s="3">
        <v>1</v>
      </c>
      <c r="B29" s="3">
        <v>3</v>
      </c>
      <c r="C29" s="3">
        <v>2</v>
      </c>
    </row>
    <row r="30" spans="1:3" x14ac:dyDescent="0.25">
      <c r="A30" s="3">
        <v>1</v>
      </c>
      <c r="B30" s="3">
        <v>14</v>
      </c>
      <c r="C30" s="3">
        <v>8</v>
      </c>
    </row>
    <row r="31" spans="1:3" x14ac:dyDescent="0.25">
      <c r="A31" s="3">
        <v>2</v>
      </c>
      <c r="B31" s="3">
        <v>4</v>
      </c>
      <c r="C31" s="3">
        <v>3</v>
      </c>
    </row>
    <row r="32" spans="1:3" x14ac:dyDescent="0.25">
      <c r="A32" s="3">
        <v>2</v>
      </c>
      <c r="B32" s="3">
        <v>5</v>
      </c>
      <c r="C32" s="3">
        <v>6</v>
      </c>
    </row>
    <row r="33" spans="1:3" x14ac:dyDescent="0.25">
      <c r="A33" s="3">
        <v>2</v>
      </c>
      <c r="B33" s="3">
        <v>11</v>
      </c>
      <c r="C33" s="3">
        <v>1</v>
      </c>
    </row>
    <row r="34" spans="1:3" x14ac:dyDescent="0.25">
      <c r="A34" s="3">
        <v>3</v>
      </c>
      <c r="B34" s="3">
        <v>6</v>
      </c>
      <c r="C34" s="3">
        <v>4</v>
      </c>
    </row>
    <row r="35" spans="1:3" x14ac:dyDescent="0.25">
      <c r="A35" s="3">
        <v>3</v>
      </c>
      <c r="B35" s="3">
        <v>7</v>
      </c>
      <c r="C35" s="3">
        <v>0</v>
      </c>
    </row>
    <row r="36" spans="1:3" x14ac:dyDescent="0.25">
      <c r="A36" s="3">
        <v>4</v>
      </c>
      <c r="B36" s="3">
        <v>7</v>
      </c>
      <c r="C36" s="3">
        <v>0</v>
      </c>
    </row>
    <row r="37" spans="1:3" x14ac:dyDescent="0.25">
      <c r="A37" s="3">
        <v>5</v>
      </c>
      <c r="B37" s="3">
        <v>7</v>
      </c>
      <c r="C37" s="3">
        <v>0</v>
      </c>
    </row>
    <row r="38" spans="1:3" x14ac:dyDescent="0.25">
      <c r="A38" s="3">
        <v>6</v>
      </c>
      <c r="B38" s="3">
        <v>8</v>
      </c>
      <c r="C38" s="3">
        <v>1</v>
      </c>
    </row>
    <row r="39" spans="1:3" x14ac:dyDescent="0.25">
      <c r="A39" s="3">
        <v>7</v>
      </c>
      <c r="B39" s="3">
        <v>9</v>
      </c>
      <c r="C39" s="3">
        <v>9</v>
      </c>
    </row>
    <row r="40" spans="1:3" x14ac:dyDescent="0.25">
      <c r="A40" s="3">
        <v>8</v>
      </c>
      <c r="B40" s="3">
        <v>10</v>
      </c>
      <c r="C40" s="3">
        <v>7</v>
      </c>
    </row>
    <row r="41" spans="1:3" x14ac:dyDescent="0.25">
      <c r="A41" s="3">
        <v>9</v>
      </c>
      <c r="B41" s="3">
        <v>11</v>
      </c>
      <c r="C41" s="3">
        <v>0</v>
      </c>
    </row>
    <row r="42" spans="1:3" x14ac:dyDescent="0.25">
      <c r="A42" s="3">
        <v>10</v>
      </c>
      <c r="B42" s="3">
        <v>11</v>
      </c>
      <c r="C42" s="3">
        <v>0</v>
      </c>
    </row>
    <row r="43" spans="1:3" x14ac:dyDescent="0.25">
      <c r="A43" s="3">
        <v>11</v>
      </c>
      <c r="B43" s="3">
        <v>12</v>
      </c>
      <c r="C43" s="3">
        <v>4</v>
      </c>
    </row>
    <row r="44" spans="1:3" x14ac:dyDescent="0.25">
      <c r="A44" s="3">
        <v>12</v>
      </c>
      <c r="B44" s="3">
        <v>13</v>
      </c>
      <c r="C44" s="3">
        <v>2</v>
      </c>
    </row>
    <row r="45" spans="1:3" x14ac:dyDescent="0.25">
      <c r="A45" s="3">
        <v>13</v>
      </c>
      <c r="B45" s="3">
        <v>15</v>
      </c>
      <c r="C45" s="3">
        <v>5</v>
      </c>
    </row>
    <row r="46" spans="1:3" x14ac:dyDescent="0.25">
      <c r="A46" s="3">
        <v>14</v>
      </c>
      <c r="B46" s="3">
        <v>15</v>
      </c>
      <c r="C46" s="3">
        <v>5</v>
      </c>
    </row>
    <row r="47" spans="1:3" x14ac:dyDescent="0.25">
      <c r="A47" s="3">
        <v>15</v>
      </c>
      <c r="B47" s="3">
        <v>16</v>
      </c>
      <c r="C47" s="3">
        <v>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sqref="A1:C21"/>
    </sheetView>
  </sheetViews>
  <sheetFormatPr defaultRowHeight="15" x14ac:dyDescent="0.25"/>
  <cols>
    <col min="4" max="4" width="14" customWidth="1"/>
    <col min="5" max="5" width="13.28515625" customWidth="1"/>
  </cols>
  <sheetData>
    <row r="1" spans="1:6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</row>
    <row r="2" spans="1:6" x14ac:dyDescent="0.25">
      <c r="A2" s="3">
        <v>1</v>
      </c>
      <c r="B2" s="3">
        <v>2</v>
      </c>
      <c r="C2" s="3">
        <v>1</v>
      </c>
      <c r="D2" s="3">
        <v>0</v>
      </c>
      <c r="E2" s="3">
        <f>D2+D3+D4</f>
        <v>1</v>
      </c>
      <c r="F2" s="10">
        <f>SUMPRODUCT(C2:C21, D2:D21)</f>
        <v>16</v>
      </c>
    </row>
    <row r="3" spans="1:6" x14ac:dyDescent="0.25">
      <c r="A3" s="3">
        <v>1</v>
      </c>
      <c r="B3" s="3">
        <v>3</v>
      </c>
      <c r="C3" s="3">
        <v>2</v>
      </c>
      <c r="D3" s="3">
        <v>0</v>
      </c>
      <c r="E3" s="3">
        <f>D2-D5-D6-D7</f>
        <v>0</v>
      </c>
      <c r="F3" s="8"/>
    </row>
    <row r="4" spans="1:6" x14ac:dyDescent="0.25">
      <c r="A4" s="3">
        <v>1</v>
      </c>
      <c r="B4" s="3">
        <v>14</v>
      </c>
      <c r="C4" s="3">
        <v>8</v>
      </c>
      <c r="D4" s="3">
        <v>1</v>
      </c>
      <c r="E4" s="3">
        <f>D3-D8-D9</f>
        <v>0</v>
      </c>
      <c r="F4" s="8"/>
    </row>
    <row r="5" spans="1:6" x14ac:dyDescent="0.25">
      <c r="A5" s="3">
        <v>2</v>
      </c>
      <c r="B5" s="3">
        <v>4</v>
      </c>
      <c r="C5" s="3">
        <v>3</v>
      </c>
      <c r="D5" s="3">
        <v>0</v>
      </c>
      <c r="E5" s="3">
        <f>D5-D10</f>
        <v>0</v>
      </c>
      <c r="F5" s="8"/>
    </row>
    <row r="6" spans="1:6" x14ac:dyDescent="0.25">
      <c r="A6" s="3">
        <v>2</v>
      </c>
      <c r="B6" s="3">
        <v>5</v>
      </c>
      <c r="C6" s="3">
        <v>6</v>
      </c>
      <c r="D6" s="3">
        <v>0</v>
      </c>
      <c r="E6" s="3">
        <f>D6-D11</f>
        <v>0</v>
      </c>
      <c r="F6" s="8"/>
    </row>
    <row r="7" spans="1:6" x14ac:dyDescent="0.25">
      <c r="A7" s="3">
        <v>2</v>
      </c>
      <c r="B7" s="3">
        <v>11</v>
      </c>
      <c r="C7" s="3">
        <v>1</v>
      </c>
      <c r="D7" s="3">
        <v>0</v>
      </c>
      <c r="E7" s="3">
        <f>D8-D12</f>
        <v>0</v>
      </c>
      <c r="F7" s="8"/>
    </row>
    <row r="8" spans="1:6" x14ac:dyDescent="0.25">
      <c r="A8" s="3">
        <v>3</v>
      </c>
      <c r="B8" s="3">
        <v>6</v>
      </c>
      <c r="C8" s="3">
        <v>4</v>
      </c>
      <c r="D8" s="3">
        <v>0</v>
      </c>
      <c r="E8" s="3">
        <f>D9+D10+D11-D13</f>
        <v>0</v>
      </c>
      <c r="F8" s="8"/>
    </row>
    <row r="9" spans="1:6" x14ac:dyDescent="0.25">
      <c r="A9" s="3">
        <v>3</v>
      </c>
      <c r="B9" s="3">
        <v>7</v>
      </c>
      <c r="C9" s="3">
        <v>0</v>
      </c>
      <c r="D9" s="3">
        <v>0</v>
      </c>
      <c r="E9" s="3">
        <f>D12-D14</f>
        <v>0</v>
      </c>
      <c r="F9" s="8"/>
    </row>
    <row r="10" spans="1:6" x14ac:dyDescent="0.25">
      <c r="A10" s="3">
        <v>4</v>
      </c>
      <c r="B10" s="3">
        <v>7</v>
      </c>
      <c r="C10" s="3">
        <v>0</v>
      </c>
      <c r="D10" s="3">
        <v>0</v>
      </c>
      <c r="E10" s="3">
        <f>D13-D15</f>
        <v>0</v>
      </c>
      <c r="F10" s="8"/>
    </row>
    <row r="11" spans="1:6" x14ac:dyDescent="0.25">
      <c r="A11" s="3">
        <v>5</v>
      </c>
      <c r="B11" s="3">
        <v>7</v>
      </c>
      <c r="C11" s="3">
        <v>0</v>
      </c>
      <c r="D11" s="3">
        <v>0</v>
      </c>
      <c r="E11" s="3">
        <f>D14-D16</f>
        <v>0</v>
      </c>
      <c r="F11" s="8"/>
    </row>
    <row r="12" spans="1:6" x14ac:dyDescent="0.25">
      <c r="A12" s="3">
        <v>6</v>
      </c>
      <c r="B12" s="3">
        <v>8</v>
      </c>
      <c r="C12" s="3">
        <v>1</v>
      </c>
      <c r="D12" s="3">
        <v>0</v>
      </c>
      <c r="E12" s="3">
        <f>D7+D15+D16-D17</f>
        <v>0</v>
      </c>
      <c r="F12" s="8"/>
    </row>
    <row r="13" spans="1:6" x14ac:dyDescent="0.25">
      <c r="A13" s="3">
        <v>7</v>
      </c>
      <c r="B13" s="3">
        <v>9</v>
      </c>
      <c r="C13" s="3">
        <v>9</v>
      </c>
      <c r="D13" s="3">
        <v>0</v>
      </c>
      <c r="E13" s="3">
        <f>D17-D18</f>
        <v>0</v>
      </c>
      <c r="F13" s="8"/>
    </row>
    <row r="14" spans="1:6" x14ac:dyDescent="0.25">
      <c r="A14" s="3">
        <v>8</v>
      </c>
      <c r="B14" s="3">
        <v>10</v>
      </c>
      <c r="C14" s="3">
        <v>7</v>
      </c>
      <c r="D14" s="3">
        <v>0</v>
      </c>
      <c r="E14" s="3">
        <f>D18-D19</f>
        <v>0</v>
      </c>
      <c r="F14" s="8"/>
    </row>
    <row r="15" spans="1:6" x14ac:dyDescent="0.25">
      <c r="A15" s="3">
        <v>9</v>
      </c>
      <c r="B15" s="3">
        <v>11</v>
      </c>
      <c r="C15" s="3">
        <v>0</v>
      </c>
      <c r="D15" s="3">
        <v>0</v>
      </c>
      <c r="E15" s="3">
        <f>D4-D20</f>
        <v>0</v>
      </c>
      <c r="F15" s="8"/>
    </row>
    <row r="16" spans="1:6" x14ac:dyDescent="0.25">
      <c r="A16" s="3">
        <v>10</v>
      </c>
      <c r="B16" s="3">
        <v>11</v>
      </c>
      <c r="C16" s="3">
        <v>0</v>
      </c>
      <c r="D16" s="3">
        <v>0</v>
      </c>
      <c r="E16" s="3">
        <f>D19+D20-D21</f>
        <v>0</v>
      </c>
      <c r="F16" s="8"/>
    </row>
    <row r="17" spans="1:6" x14ac:dyDescent="0.25">
      <c r="A17" s="3">
        <v>11</v>
      </c>
      <c r="B17" s="3">
        <v>12</v>
      </c>
      <c r="C17" s="3">
        <v>4</v>
      </c>
      <c r="D17" s="3">
        <v>0</v>
      </c>
      <c r="E17" s="3">
        <f>D21</f>
        <v>1</v>
      </c>
      <c r="F17" s="8"/>
    </row>
    <row r="18" spans="1:6" x14ac:dyDescent="0.25">
      <c r="A18" s="3">
        <v>12</v>
      </c>
      <c r="B18" s="3">
        <v>13</v>
      </c>
      <c r="C18" s="3">
        <v>2</v>
      </c>
      <c r="D18" s="3">
        <v>0</v>
      </c>
      <c r="E18" s="8"/>
      <c r="F18" s="8"/>
    </row>
    <row r="19" spans="1:6" x14ac:dyDescent="0.25">
      <c r="A19" s="3">
        <v>13</v>
      </c>
      <c r="B19" s="3">
        <v>15</v>
      </c>
      <c r="C19" s="3">
        <v>5</v>
      </c>
      <c r="D19" s="3">
        <v>0</v>
      </c>
      <c r="E19" s="8"/>
      <c r="F19" s="8"/>
    </row>
    <row r="20" spans="1:6" x14ac:dyDescent="0.25">
      <c r="A20" s="3">
        <v>14</v>
      </c>
      <c r="B20" s="3">
        <v>15</v>
      </c>
      <c r="C20" s="3">
        <v>5</v>
      </c>
      <c r="D20" s="3">
        <v>1</v>
      </c>
      <c r="E20" s="8"/>
      <c r="F20" s="8"/>
    </row>
    <row r="21" spans="1:6" x14ac:dyDescent="0.25">
      <c r="A21" s="3">
        <v>15</v>
      </c>
      <c r="B21" s="3">
        <v>16</v>
      </c>
      <c r="C21" s="3">
        <v>3</v>
      </c>
      <c r="D21" s="3">
        <v>1</v>
      </c>
      <c r="E21" s="8"/>
      <c r="F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 53</cp:lastModifiedBy>
  <dcterms:created xsi:type="dcterms:W3CDTF">2015-06-05T18:19:34Z</dcterms:created>
  <dcterms:modified xsi:type="dcterms:W3CDTF">2026-02-21T09:00:32Z</dcterms:modified>
</cp:coreProperties>
</file>