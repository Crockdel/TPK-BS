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етевым графикам\"/>
    </mc:Choice>
  </mc:AlternateContent>
  <xr:revisionPtr revIDLastSave="0" documentId="13_ncr:1_{730699B6-5FBE-4B09-B77E-0CB49146C165}" xr6:coauthVersionLast="47" xr6:coauthVersionMax="47" xr10:uidLastSave="{00000000-0000-0000-0000-000000000000}"/>
  <bookViews>
    <workbookView xWindow="-120" yWindow="330" windowWidth="29040" windowHeight="15390" activeTab="2" xr2:uid="{00000000-000D-0000-FFFF-FFFF00000000}"/>
  </bookViews>
  <sheets>
    <sheet name="Сетевой график" sheetId="1" r:id="rId1"/>
    <sheet name="Поиск решения КР" sheetId="3" r:id="rId2"/>
    <sheet name="Поиск решения МП" sheetId="4" r:id="rId3"/>
  </sheets>
  <definedNames>
    <definedName name="solver_adj" localSheetId="1" hidden="1">'Поиск решения КР'!$D$3:$D$22</definedName>
    <definedName name="solver_adj" localSheetId="2" hidden="1">'Поиск решения МП'!$D$3:$D$22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'Поиск решения КР'!$D$3:$D$22</definedName>
    <definedName name="solver_lhs1" localSheetId="2" hidden="1">'Поиск решения МП'!$D$3:$D$22</definedName>
    <definedName name="solver_lhs2" localSheetId="1" hidden="1">'Поиск решения КР'!$D$3:$D$22</definedName>
    <definedName name="solver_lhs2" localSheetId="2" hidden="1">'Поиск решения МП'!$D$3:$D$22</definedName>
    <definedName name="solver_lhs3" localSheetId="1" hidden="1">'Поиск решения КР'!$E$15</definedName>
    <definedName name="solver_lhs3" localSheetId="2" hidden="1">'Поиск решения МП'!$E$3:$E$14</definedName>
    <definedName name="solver_lhs4" localSheetId="1" hidden="1">'Поиск решения КР'!$E$3</definedName>
    <definedName name="solver_lhs5" localSheetId="1" hidden="1">'Поиск решения КР'!$E$4:$E$14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5</definedName>
    <definedName name="solver_num" localSheetId="2" hidden="1">3</definedName>
    <definedName name="solver_nwt" localSheetId="1" hidden="1">1</definedName>
    <definedName name="solver_nwt" localSheetId="2" hidden="1">1</definedName>
    <definedName name="solver_opt" localSheetId="1" hidden="1">'Поиск решения КР'!$F$3</definedName>
    <definedName name="solver_opt" localSheetId="2" hidden="1">'Поиск решения МП'!$F$3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el1" localSheetId="1" hidden="1">5</definedName>
    <definedName name="solver_rel1" localSheetId="2" hidden="1">1</definedName>
    <definedName name="solver_rel2" localSheetId="1" hidden="1">4</definedName>
    <definedName name="solver_rel2" localSheetId="2" hidden="1">4</definedName>
    <definedName name="solver_rel3" localSheetId="1" hidden="1">2</definedName>
    <definedName name="solver_rel3" localSheetId="2" hidden="1">2</definedName>
    <definedName name="solver_rel4" localSheetId="1" hidden="1">2</definedName>
    <definedName name="solver_rel5" localSheetId="1" hidden="1">2</definedName>
    <definedName name="solver_rhs1" localSheetId="1" hidden="1">"бинарное"</definedName>
    <definedName name="solver_rhs1" localSheetId="2" hidden="1">'Поиск решения МП'!$C$3:$C$22</definedName>
    <definedName name="solver_rhs2" localSheetId="1" hidden="1">"целое"</definedName>
    <definedName name="solver_rhs2" localSheetId="2" hidden="1">"целое"</definedName>
    <definedName name="solver_rhs3" localSheetId="1" hidden="1">1</definedName>
    <definedName name="solver_rhs3" localSheetId="2" hidden="1">0</definedName>
    <definedName name="solver_rhs4" localSheetId="1" hidden="1">1</definedName>
    <definedName name="solver_rhs5" localSheetId="1" hidden="1">0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2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E3" i="4"/>
  <c r="E14" i="4"/>
  <c r="E13" i="4"/>
  <c r="E12" i="4"/>
  <c r="E11" i="4"/>
  <c r="E10" i="4"/>
  <c r="E9" i="4"/>
  <c r="E8" i="4"/>
  <c r="E7" i="4"/>
  <c r="E6" i="4"/>
  <c r="E5" i="4"/>
  <c r="E4" i="4"/>
  <c r="G22" i="1"/>
  <c r="G3" i="1"/>
  <c r="G19" i="1"/>
  <c r="F3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G10" i="1"/>
  <c r="G12" i="1"/>
  <c r="G15" i="1"/>
  <c r="G21" i="1"/>
  <c r="G20" i="1"/>
  <c r="G18" i="1"/>
  <c r="G17" i="1"/>
  <c r="G16" i="1"/>
  <c r="G14" i="1"/>
  <c r="G13" i="1"/>
  <c r="G11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<sst xmlns="http://schemas.openxmlformats.org/spreadsheetml/2006/main" count="40" uniqueCount="32">
  <si>
    <t>Нахождение кратчайшего пути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</si>
  <si>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</si>
  <si>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</si>
  <si>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</si>
  <si>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</si>
  <si>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расстояние</t>
  </si>
  <si>
    <t>min</t>
  </si>
  <si>
    <t>Нахождение максимального потока</t>
  </si>
  <si>
    <t>1-2-4-9-13</t>
  </si>
  <si>
    <t>1-2-4-9-10-11-12-13</t>
  </si>
  <si>
    <t>1-2-5-6-9-13</t>
  </si>
  <si>
    <t>1-2-5-6-9-10-11-12-13</t>
  </si>
  <si>
    <t>1-2-5-6-7-13</t>
  </si>
  <si>
    <t>1-2-5-6-7-9-13</t>
  </si>
  <si>
    <t>1-2-5-6-7-9-10-11-12-13</t>
  </si>
  <si>
    <t>1-2-6-9-13</t>
  </si>
  <si>
    <t>1-2-6-9-10-11-12-13</t>
  </si>
  <si>
    <t>1-2-6-7-13</t>
  </si>
  <si>
    <t>1-2-6-7-9-13</t>
  </si>
  <si>
    <t>1-2-6-7-9-10-11-12-13</t>
  </si>
  <si>
    <t>1-3-11-12-13</t>
  </si>
  <si>
    <t>1-3-6-9-13</t>
  </si>
  <si>
    <t>1-3-6-7-13</t>
  </si>
  <si>
    <t>1-3-6-7-9-13</t>
  </si>
  <si>
    <t>1-3-6-7-9-10-11-12-13</t>
  </si>
  <si>
    <t>1-3-6-9-10-11-12-13</t>
  </si>
  <si>
    <t>Переменные</t>
  </si>
  <si>
    <t>Ограничения</t>
  </si>
  <si>
    <r>
      <t>Min L</t>
    </r>
    <r>
      <rPr>
        <vertAlign val="subscript"/>
        <sz val="11"/>
        <color theme="1"/>
        <rFont val="Calibri"/>
        <family val="2"/>
        <charset val="204"/>
        <scheme val="minor"/>
      </rPr>
      <t>ij</t>
    </r>
    <r>
      <rPr>
        <sz val="11"/>
        <color theme="1"/>
        <rFont val="Calibri"/>
        <family val="2"/>
        <scheme val="minor"/>
      </rPr>
      <t xml:space="preserve"> </t>
    </r>
  </si>
  <si>
    <t>1-2-3-6-7-13</t>
  </si>
  <si>
    <r>
      <rPr>
        <sz val="11"/>
        <color theme="1"/>
        <rFont val="Calibri"/>
        <family val="2"/>
        <charset val="204"/>
        <scheme val="minor"/>
      </rPr>
      <t>f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</si>
  <si>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t>Max f</t>
    </r>
    <r>
      <rPr>
        <vertAlign val="subscript"/>
        <sz val="11"/>
        <color theme="1"/>
        <rFont val="Calibri"/>
        <family val="2"/>
        <charset val="204"/>
        <scheme val="minor"/>
      </rPr>
      <t>ij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</si>
</sst>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14" fontId="2" fillId="0" borderId="1" xfId="0" applyNumberFormat="1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 applyAlignment="1">
      <alignment horizontal="left"/>
    </xf>
    <xf numFmtId="0" fontId="0" fillId="0" borderId="1" xfId="0" applyFont="1" applyBorder="1"/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3</xdr:row>
      <xdr:rowOff>142875</xdr:rowOff>
    </xdr:from>
    <xdr:to>
      <xdr:col>14</xdr:col>
      <xdr:colOff>47625</xdr:colOff>
      <xdr:row>6</xdr:row>
      <xdr:rowOff>123825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B3585F4C-0FFD-C706-F8C8-34A571D98376}"/>
            </a:ext>
          </a:extLst>
        </xdr:cNvPr>
        <xdr:cNvSpPr/>
      </xdr:nvSpPr>
      <xdr:spPr>
        <a:xfrm>
          <a:off x="8553450" y="1285875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</a:t>
          </a:r>
          <a:r>
            <a:rPr lang="ru-RU" sz="2000"/>
            <a:t>2</a:t>
          </a:r>
        </a:p>
      </xdr:txBody>
    </xdr:sp>
    <xdr:clientData/>
  </xdr:twoCellAnchor>
  <xdr:twoCellAnchor>
    <xdr:from>
      <xdr:col>11</xdr:col>
      <xdr:colOff>200025</xdr:colOff>
      <xdr:row>8</xdr:row>
      <xdr:rowOff>19050</xdr:rowOff>
    </xdr:from>
    <xdr:to>
      <xdr:col>12</xdr:col>
      <xdr:colOff>180975</xdr:colOff>
      <xdr:row>11</xdr:row>
      <xdr:rowOff>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FE4E1070-4B25-4506-A4CC-BB5A29E9A113}"/>
            </a:ext>
          </a:extLst>
        </xdr:cNvPr>
        <xdr:cNvSpPr/>
      </xdr:nvSpPr>
      <xdr:spPr>
        <a:xfrm>
          <a:off x="7467600" y="2114550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</a:t>
          </a:r>
          <a:r>
            <a:rPr lang="ru-RU" sz="2000"/>
            <a:t>1</a:t>
          </a:r>
        </a:p>
      </xdr:txBody>
    </xdr:sp>
    <xdr:clientData/>
  </xdr:twoCellAnchor>
  <xdr:twoCellAnchor>
    <xdr:from>
      <xdr:col>15</xdr:col>
      <xdr:colOff>457200</xdr:colOff>
      <xdr:row>2</xdr:row>
      <xdr:rowOff>0</xdr:rowOff>
    </xdr:from>
    <xdr:to>
      <xdr:col>16</xdr:col>
      <xdr:colOff>438150</xdr:colOff>
      <xdr:row>4</xdr:row>
      <xdr:rowOff>161925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27ADD310-10FC-420E-86E6-74EF58364965}"/>
            </a:ext>
          </a:extLst>
        </xdr:cNvPr>
        <xdr:cNvSpPr/>
      </xdr:nvSpPr>
      <xdr:spPr>
        <a:xfrm>
          <a:off x="11087100" y="571500"/>
          <a:ext cx="590550" cy="542925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</a:t>
          </a:r>
          <a:r>
            <a:rPr lang="ru-RU" sz="2000"/>
            <a:t>5</a:t>
          </a:r>
        </a:p>
      </xdr:txBody>
    </xdr:sp>
    <xdr:clientData/>
  </xdr:twoCellAnchor>
  <xdr:twoCellAnchor>
    <xdr:from>
      <xdr:col>16</xdr:col>
      <xdr:colOff>504825</xdr:colOff>
      <xdr:row>25</xdr:row>
      <xdr:rowOff>66675</xdr:rowOff>
    </xdr:from>
    <xdr:to>
      <xdr:col>17</xdr:col>
      <xdr:colOff>485775</xdr:colOff>
      <xdr:row>28</xdr:row>
      <xdr:rowOff>47625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2DE0B3AD-EE2C-442D-BDA3-A73AFD700816}"/>
            </a:ext>
          </a:extLst>
        </xdr:cNvPr>
        <xdr:cNvSpPr/>
      </xdr:nvSpPr>
      <xdr:spPr>
        <a:xfrm>
          <a:off x="10820400" y="5400675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11</a:t>
          </a:r>
          <a:endParaRPr lang="ru-RU" sz="2000"/>
        </a:p>
      </xdr:txBody>
    </xdr:sp>
    <xdr:clientData/>
  </xdr:twoCellAnchor>
  <xdr:twoCellAnchor>
    <xdr:from>
      <xdr:col>13</xdr:col>
      <xdr:colOff>400050</xdr:colOff>
      <xdr:row>19</xdr:row>
      <xdr:rowOff>142875</xdr:rowOff>
    </xdr:from>
    <xdr:to>
      <xdr:col>14</xdr:col>
      <xdr:colOff>381000</xdr:colOff>
      <xdr:row>22</xdr:row>
      <xdr:rowOff>123825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F514E929-9642-4D90-86BF-8DCFA97AF95F}"/>
            </a:ext>
          </a:extLst>
        </xdr:cNvPr>
        <xdr:cNvSpPr/>
      </xdr:nvSpPr>
      <xdr:spPr>
        <a:xfrm>
          <a:off x="8886825" y="4333875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</a:t>
          </a:r>
          <a:r>
            <a:rPr lang="ru-RU" sz="2000"/>
            <a:t>3</a:t>
          </a:r>
        </a:p>
      </xdr:txBody>
    </xdr:sp>
    <xdr:clientData/>
  </xdr:twoCellAnchor>
  <xdr:twoCellAnchor>
    <xdr:from>
      <xdr:col>19</xdr:col>
      <xdr:colOff>38100</xdr:colOff>
      <xdr:row>18</xdr:row>
      <xdr:rowOff>47625</xdr:rowOff>
    </xdr:from>
    <xdr:to>
      <xdr:col>20</xdr:col>
      <xdr:colOff>57150</xdr:colOff>
      <xdr:row>21</xdr:row>
      <xdr:rowOff>66675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44CFEC38-C630-4410-815F-689F94A53CD6}"/>
            </a:ext>
          </a:extLst>
        </xdr:cNvPr>
        <xdr:cNvSpPr/>
      </xdr:nvSpPr>
      <xdr:spPr>
        <a:xfrm>
          <a:off x="12534900" y="4048125"/>
          <a:ext cx="628650" cy="5905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2000"/>
            <a:t>10</a:t>
          </a:r>
        </a:p>
      </xdr:txBody>
    </xdr:sp>
    <xdr:clientData/>
  </xdr:twoCellAnchor>
  <xdr:twoCellAnchor>
    <xdr:from>
      <xdr:col>16</xdr:col>
      <xdr:colOff>390525</xdr:colOff>
      <xdr:row>16</xdr:row>
      <xdr:rowOff>161925</xdr:rowOff>
    </xdr:from>
    <xdr:to>
      <xdr:col>17</xdr:col>
      <xdr:colOff>371475</xdr:colOff>
      <xdr:row>19</xdr:row>
      <xdr:rowOff>142875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D0CA2E04-DF8B-496D-ADCD-8143AB98AD39}"/>
            </a:ext>
          </a:extLst>
        </xdr:cNvPr>
        <xdr:cNvSpPr/>
      </xdr:nvSpPr>
      <xdr:spPr>
        <a:xfrm>
          <a:off x="11058525" y="3781425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7</a:t>
          </a:r>
          <a:endParaRPr lang="ru-RU" sz="2000"/>
        </a:p>
      </xdr:txBody>
    </xdr:sp>
    <xdr:clientData/>
  </xdr:twoCellAnchor>
  <xdr:twoCellAnchor>
    <xdr:from>
      <xdr:col>16</xdr:col>
      <xdr:colOff>95250</xdr:colOff>
      <xdr:row>8</xdr:row>
      <xdr:rowOff>9525</xdr:rowOff>
    </xdr:from>
    <xdr:to>
      <xdr:col>17</xdr:col>
      <xdr:colOff>76200</xdr:colOff>
      <xdr:row>10</xdr:row>
      <xdr:rowOff>180975</xdr:rowOff>
    </xdr:to>
    <xdr:sp macro="" textlink="">
      <xdr:nvSpPr>
        <xdr:cNvPr id="9" name="Овал 8">
          <a:extLst>
            <a:ext uri="{FF2B5EF4-FFF2-40B4-BE49-F238E27FC236}">
              <a16:creationId xmlns:a16="http://schemas.microsoft.com/office/drawing/2014/main" id="{BD2C520D-BD74-4150-BF3C-76101489FF22}"/>
            </a:ext>
          </a:extLst>
        </xdr:cNvPr>
        <xdr:cNvSpPr/>
      </xdr:nvSpPr>
      <xdr:spPr>
        <a:xfrm>
          <a:off x="10410825" y="2105025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6</a:t>
          </a:r>
          <a:endParaRPr lang="ru-RU" sz="2000"/>
        </a:p>
      </xdr:txBody>
    </xdr:sp>
    <xdr:clientData/>
  </xdr:twoCellAnchor>
  <xdr:twoCellAnchor>
    <xdr:from>
      <xdr:col>14</xdr:col>
      <xdr:colOff>466725</xdr:colOff>
      <xdr:row>0</xdr:row>
      <xdr:rowOff>0</xdr:rowOff>
    </xdr:from>
    <xdr:to>
      <xdr:col>15</xdr:col>
      <xdr:colOff>447675</xdr:colOff>
      <xdr:row>1</xdr:row>
      <xdr:rowOff>361950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51EB5686-9B7C-452E-8938-BCFA5CF52A85}"/>
            </a:ext>
          </a:extLst>
        </xdr:cNvPr>
        <xdr:cNvSpPr/>
      </xdr:nvSpPr>
      <xdr:spPr>
        <a:xfrm>
          <a:off x="9563100" y="0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/>
            <a:t> 4</a:t>
          </a:r>
          <a:endParaRPr lang="ru-RU" sz="2000"/>
        </a:p>
      </xdr:txBody>
    </xdr:sp>
    <xdr:clientData/>
  </xdr:twoCellAnchor>
  <xdr:twoCellAnchor>
    <xdr:from>
      <xdr:col>18</xdr:col>
      <xdr:colOff>295275</xdr:colOff>
      <xdr:row>0</xdr:row>
      <xdr:rowOff>19050</xdr:rowOff>
    </xdr:from>
    <xdr:to>
      <xdr:col>19</xdr:col>
      <xdr:colOff>276225</xdr:colOff>
      <xdr:row>2</xdr:row>
      <xdr:rowOff>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B1F07D76-A7EA-426B-B8E2-8ADC0BCBC291}"/>
            </a:ext>
          </a:extLst>
        </xdr:cNvPr>
        <xdr:cNvSpPr/>
      </xdr:nvSpPr>
      <xdr:spPr>
        <a:xfrm>
          <a:off x="12753975" y="19050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/>
            <a:t> 8</a:t>
          </a:r>
          <a:endParaRPr lang="ru-RU" sz="1800"/>
        </a:p>
      </xdr:txBody>
    </xdr:sp>
    <xdr:clientData/>
  </xdr:twoCellAnchor>
  <xdr:twoCellAnchor>
    <xdr:from>
      <xdr:col>18</xdr:col>
      <xdr:colOff>438150</xdr:colOff>
      <xdr:row>3</xdr:row>
      <xdr:rowOff>152400</xdr:rowOff>
    </xdr:from>
    <xdr:to>
      <xdr:col>19</xdr:col>
      <xdr:colOff>419100</xdr:colOff>
      <xdr:row>6</xdr:row>
      <xdr:rowOff>133350</xdr:rowOff>
    </xdr:to>
    <xdr:sp macro="" textlink="">
      <xdr:nvSpPr>
        <xdr:cNvPr id="12" name="Овал 11">
          <a:extLst>
            <a:ext uri="{FF2B5EF4-FFF2-40B4-BE49-F238E27FC236}">
              <a16:creationId xmlns:a16="http://schemas.microsoft.com/office/drawing/2014/main" id="{18A35323-B28C-4865-AE17-3C56AAC25AE0}"/>
            </a:ext>
          </a:extLst>
        </xdr:cNvPr>
        <xdr:cNvSpPr/>
      </xdr:nvSpPr>
      <xdr:spPr>
        <a:xfrm>
          <a:off x="11972925" y="1295400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 </a:t>
          </a:r>
          <a:r>
            <a:rPr lang="en-US" sz="1800"/>
            <a:t>9</a:t>
          </a:r>
          <a:r>
            <a:rPr lang="en-US" sz="2000"/>
            <a:t> </a:t>
          </a:r>
          <a:r>
            <a:rPr lang="ru-RU" sz="2000"/>
            <a:t>10</a:t>
          </a:r>
        </a:p>
      </xdr:txBody>
    </xdr:sp>
    <xdr:clientData/>
  </xdr:twoCellAnchor>
  <xdr:twoCellAnchor>
    <xdr:from>
      <xdr:col>12</xdr:col>
      <xdr:colOff>94491</xdr:colOff>
      <xdr:row>5</xdr:row>
      <xdr:rowOff>38100</xdr:rowOff>
    </xdr:from>
    <xdr:to>
      <xdr:col>13</xdr:col>
      <xdr:colOff>66675</xdr:colOff>
      <xdr:row>8</xdr:row>
      <xdr:rowOff>99954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3A0D2E07-CCA6-16FE-4CD7-5737BF625F5C}"/>
            </a:ext>
          </a:extLst>
        </xdr:cNvPr>
        <xdr:cNvCxnSpPr>
          <a:stCxn id="3" idx="7"/>
          <a:endCxn id="2" idx="2"/>
        </xdr:cNvCxnSpPr>
      </xdr:nvCxnSpPr>
      <xdr:spPr>
        <a:xfrm flipV="1">
          <a:off x="7971666" y="1562100"/>
          <a:ext cx="581784" cy="6333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11</xdr:row>
      <xdr:rowOff>0</xdr:rowOff>
    </xdr:from>
    <xdr:to>
      <xdr:col>13</xdr:col>
      <xdr:colOff>486534</xdr:colOff>
      <xdr:row>20</xdr:row>
      <xdr:rowOff>33279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AAC1C09B-D30E-1FA3-E11D-7178B8E1D2E3}"/>
            </a:ext>
          </a:extLst>
        </xdr:cNvPr>
        <xdr:cNvCxnSpPr>
          <a:stCxn id="3" idx="4"/>
          <a:endCxn id="6" idx="1"/>
        </xdr:cNvCxnSpPr>
      </xdr:nvCxnSpPr>
      <xdr:spPr>
        <a:xfrm>
          <a:off x="7762875" y="2667000"/>
          <a:ext cx="1210434" cy="1747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19050</xdr:colOff>
      <xdr:row>4</xdr:row>
      <xdr:rowOff>171450</xdr:rowOff>
    </xdr:from>
    <xdr:ext cx="509627" cy="342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F39999A-131F-5F52-1DA8-24406392EA43}"/>
            </a:ext>
          </a:extLst>
        </xdr:cNvPr>
        <xdr:cNvSpPr txBox="1"/>
      </xdr:nvSpPr>
      <xdr:spPr>
        <a:xfrm>
          <a:off x="7896225" y="1504950"/>
          <a:ext cx="50962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А=4</a:t>
          </a:r>
        </a:p>
      </xdr:txBody>
    </xdr:sp>
    <xdr:clientData/>
  </xdr:oneCellAnchor>
  <xdr:oneCellAnchor>
    <xdr:from>
      <xdr:col>12</xdr:col>
      <xdr:colOff>0</xdr:colOff>
      <xdr:row>14</xdr:row>
      <xdr:rowOff>95250</xdr:rowOff>
    </xdr:from>
    <xdr:ext cx="501163" cy="342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81EAC36-456D-47A5-9764-BDFDE2A26589}"/>
            </a:ext>
          </a:extLst>
        </xdr:cNvPr>
        <xdr:cNvSpPr txBox="1"/>
      </xdr:nvSpPr>
      <xdr:spPr>
        <a:xfrm>
          <a:off x="7877175" y="3333750"/>
          <a:ext cx="50116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Б=5</a:t>
          </a:r>
        </a:p>
      </xdr:txBody>
    </xdr:sp>
    <xdr:clientData/>
  </xdr:oneCellAnchor>
  <xdr:twoCellAnchor>
    <xdr:from>
      <xdr:col>13</xdr:col>
      <xdr:colOff>570741</xdr:colOff>
      <xdr:row>3</xdr:row>
      <xdr:rowOff>80963</xdr:rowOff>
    </xdr:from>
    <xdr:to>
      <xdr:col>15</xdr:col>
      <xdr:colOff>457200</xdr:colOff>
      <xdr:row>4</xdr:row>
      <xdr:rowOff>33279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7FE30DFE-149E-CBB8-1B26-9DB20082F037}"/>
            </a:ext>
          </a:extLst>
        </xdr:cNvPr>
        <xdr:cNvCxnSpPr>
          <a:stCxn id="2" idx="7"/>
          <a:endCxn id="4" idx="2"/>
        </xdr:cNvCxnSpPr>
      </xdr:nvCxnSpPr>
      <xdr:spPr>
        <a:xfrm flipV="1">
          <a:off x="9981441" y="842963"/>
          <a:ext cx="1105659" cy="1428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342900</xdr:colOff>
      <xdr:row>3</xdr:row>
      <xdr:rowOff>114300</xdr:rowOff>
    </xdr:from>
    <xdr:ext cx="502510" cy="3619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C78D5AB-A1FB-4EBF-811C-15579BA826FB}"/>
            </a:ext>
          </a:extLst>
        </xdr:cNvPr>
        <xdr:cNvSpPr txBox="1"/>
      </xdr:nvSpPr>
      <xdr:spPr>
        <a:xfrm>
          <a:off x="10363200" y="876300"/>
          <a:ext cx="502510" cy="3619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600"/>
            <a:t>В=7</a:t>
          </a:r>
        </a:p>
      </xdr:txBody>
    </xdr:sp>
    <xdr:clientData/>
  </xdr:oneCellAnchor>
  <xdr:oneCellAnchor>
    <xdr:from>
      <xdr:col>14</xdr:col>
      <xdr:colOff>504825</xdr:colOff>
      <xdr:row>5</xdr:row>
      <xdr:rowOff>123825</xdr:rowOff>
    </xdr:from>
    <xdr:ext cx="479042" cy="34278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B91EA79-049A-4563-8763-D50E1477BBCB}"/>
            </a:ext>
          </a:extLst>
        </xdr:cNvPr>
        <xdr:cNvSpPr txBox="1"/>
      </xdr:nvSpPr>
      <xdr:spPr>
        <a:xfrm>
          <a:off x="9601200" y="1647825"/>
          <a:ext cx="47904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Г=8</a:t>
          </a:r>
        </a:p>
      </xdr:txBody>
    </xdr:sp>
    <xdr:clientData/>
  </xdr:oneCellAnchor>
  <xdr:twoCellAnchor>
    <xdr:from>
      <xdr:col>13</xdr:col>
      <xdr:colOff>570741</xdr:colOff>
      <xdr:row>6</xdr:row>
      <xdr:rowOff>42921</xdr:rowOff>
    </xdr:from>
    <xdr:to>
      <xdr:col>16</xdr:col>
      <xdr:colOff>181734</xdr:colOff>
      <xdr:row>8</xdr:row>
      <xdr:rowOff>90429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1EA2ED0B-9483-B791-E11D-17F3002814F9}"/>
            </a:ext>
          </a:extLst>
        </xdr:cNvPr>
        <xdr:cNvCxnSpPr>
          <a:stCxn id="2" idx="5"/>
          <a:endCxn id="9" idx="1"/>
        </xdr:cNvCxnSpPr>
      </xdr:nvCxnSpPr>
      <xdr:spPr>
        <a:xfrm>
          <a:off x="9057516" y="1757421"/>
          <a:ext cx="1439793" cy="4285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4</xdr:row>
      <xdr:rowOff>161925</xdr:rowOff>
    </xdr:from>
    <xdr:to>
      <xdr:col>16</xdr:col>
      <xdr:colOff>390525</xdr:colOff>
      <xdr:row>8</xdr:row>
      <xdr:rowOff>9525</xdr:rowOff>
    </xdr:to>
    <xdr:cxnSp macro="">
      <xdr:nvCxnSpPr>
        <xdr:cNvPr id="29" name="Прямая со стрелкой 28">
          <a:extLst>
            <a:ext uri="{FF2B5EF4-FFF2-40B4-BE49-F238E27FC236}">
              <a16:creationId xmlns:a16="http://schemas.microsoft.com/office/drawing/2014/main" id="{6AD71933-BA53-9D5D-E103-D0A62E47C68D}"/>
            </a:ext>
          </a:extLst>
        </xdr:cNvPr>
        <xdr:cNvCxnSpPr>
          <a:stCxn id="4" idx="4"/>
          <a:endCxn id="9" idx="0"/>
        </xdr:cNvCxnSpPr>
      </xdr:nvCxnSpPr>
      <xdr:spPr>
        <a:xfrm>
          <a:off x="11382375" y="1114425"/>
          <a:ext cx="247650" cy="60960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294516</xdr:colOff>
      <xdr:row>10</xdr:row>
      <xdr:rowOff>100071</xdr:rowOff>
    </xdr:from>
    <xdr:to>
      <xdr:col>16</xdr:col>
      <xdr:colOff>181734</xdr:colOff>
      <xdr:row>20</xdr:row>
      <xdr:rowOff>33279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EB86EA03-858F-5C10-DB18-3B0C4DB87E46}"/>
            </a:ext>
          </a:extLst>
        </xdr:cNvPr>
        <xdr:cNvCxnSpPr>
          <a:stCxn id="6" idx="7"/>
          <a:endCxn id="9" idx="3"/>
        </xdr:cNvCxnSpPr>
      </xdr:nvCxnSpPr>
      <xdr:spPr>
        <a:xfrm flipV="1">
          <a:off x="9390891" y="2576571"/>
          <a:ext cx="1106418" cy="183820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599316</xdr:colOff>
      <xdr:row>5</xdr:row>
      <xdr:rowOff>47625</xdr:rowOff>
    </xdr:from>
    <xdr:to>
      <xdr:col>18</xdr:col>
      <xdr:colOff>438150</xdr:colOff>
      <xdr:row>8</xdr:row>
      <xdr:rowOff>90429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C1B5AC43-A86A-53E3-690D-CF8A66522A06}"/>
            </a:ext>
          </a:extLst>
        </xdr:cNvPr>
        <xdr:cNvCxnSpPr>
          <a:stCxn id="9" idx="7"/>
          <a:endCxn id="12" idx="2"/>
        </xdr:cNvCxnSpPr>
      </xdr:nvCxnSpPr>
      <xdr:spPr>
        <a:xfrm flipV="1">
          <a:off x="10914891" y="1571625"/>
          <a:ext cx="1058034" cy="6143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57150</xdr:colOff>
      <xdr:row>5</xdr:row>
      <xdr:rowOff>38100</xdr:rowOff>
    </xdr:from>
    <xdr:ext cx="627031" cy="4191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BAF3C1C-0459-46D1-A8E7-DCA9D5DD2539}"/>
            </a:ext>
          </a:extLst>
        </xdr:cNvPr>
        <xdr:cNvSpPr txBox="1"/>
      </xdr:nvSpPr>
      <xdr:spPr>
        <a:xfrm>
          <a:off x="10982325" y="1562100"/>
          <a:ext cx="627031" cy="419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600"/>
            <a:t>Д=10</a:t>
          </a:r>
        </a:p>
      </xdr:txBody>
    </xdr:sp>
    <xdr:clientData/>
  </xdr:oneCellAnchor>
  <xdr:twoCellAnchor>
    <xdr:from>
      <xdr:col>16</xdr:col>
      <xdr:colOff>390525</xdr:colOff>
      <xdr:row>10</xdr:row>
      <xdr:rowOff>180975</xdr:rowOff>
    </xdr:from>
    <xdr:to>
      <xdr:col>16</xdr:col>
      <xdr:colOff>477009</xdr:colOff>
      <xdr:row>17</xdr:row>
      <xdr:rowOff>52329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D8600770-C9C7-6A2E-5172-B61046CB7CE3}"/>
            </a:ext>
          </a:extLst>
        </xdr:cNvPr>
        <xdr:cNvCxnSpPr>
          <a:stCxn id="9" idx="4"/>
          <a:endCxn id="8" idx="1"/>
        </xdr:cNvCxnSpPr>
      </xdr:nvCxnSpPr>
      <xdr:spPr>
        <a:xfrm>
          <a:off x="11058525" y="2657475"/>
          <a:ext cx="86484" cy="12048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561975</xdr:colOff>
      <xdr:row>13</xdr:row>
      <xdr:rowOff>85725</xdr:rowOff>
    </xdr:from>
    <xdr:ext cx="491096" cy="342786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E2D8027-C74D-4029-A98A-834780CA08C7}"/>
            </a:ext>
          </a:extLst>
        </xdr:cNvPr>
        <xdr:cNvSpPr txBox="1"/>
      </xdr:nvSpPr>
      <xdr:spPr>
        <a:xfrm>
          <a:off x="10620375" y="3133725"/>
          <a:ext cx="491096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Е=1</a:t>
          </a:r>
        </a:p>
      </xdr:txBody>
    </xdr:sp>
    <xdr:clientData/>
  </xdr:oneCellAnchor>
  <xdr:twoCellAnchor>
    <xdr:from>
      <xdr:col>13</xdr:col>
      <xdr:colOff>361950</xdr:colOff>
      <xdr:row>1</xdr:row>
      <xdr:rowOff>281046</xdr:rowOff>
    </xdr:from>
    <xdr:to>
      <xdr:col>14</xdr:col>
      <xdr:colOff>553209</xdr:colOff>
      <xdr:row>3</xdr:row>
      <xdr:rowOff>142875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81384746-1665-C458-B510-191583073142}"/>
            </a:ext>
          </a:extLst>
        </xdr:cNvPr>
        <xdr:cNvCxnSpPr>
          <a:stCxn id="2" idx="0"/>
          <a:endCxn id="10" idx="3"/>
        </xdr:cNvCxnSpPr>
      </xdr:nvCxnSpPr>
      <xdr:spPr>
        <a:xfrm flipV="1">
          <a:off x="8848725" y="471546"/>
          <a:ext cx="800859" cy="814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390525</xdr:colOff>
      <xdr:row>1</xdr:row>
      <xdr:rowOff>161925</xdr:rowOff>
    </xdr:from>
    <xdr:ext cx="518732" cy="34278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AECCC89D-5F6B-4661-90BB-A2A6093CACC4}"/>
            </a:ext>
          </a:extLst>
        </xdr:cNvPr>
        <xdr:cNvSpPr txBox="1"/>
      </xdr:nvSpPr>
      <xdr:spPr>
        <a:xfrm>
          <a:off x="9801225" y="352425"/>
          <a:ext cx="5187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Н=2</a:t>
          </a:r>
        </a:p>
      </xdr:txBody>
    </xdr:sp>
    <xdr:clientData/>
  </xdr:oneCellAnchor>
  <xdr:oneCellAnchor>
    <xdr:from>
      <xdr:col>19</xdr:col>
      <xdr:colOff>104775</xdr:colOff>
      <xdr:row>1</xdr:row>
      <xdr:rowOff>504825</xdr:rowOff>
    </xdr:from>
    <xdr:ext cx="571500" cy="342786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3A04B39-2E03-43D7-8073-9A85B4351790}"/>
            </a:ext>
          </a:extLst>
        </xdr:cNvPr>
        <xdr:cNvSpPr txBox="1"/>
      </xdr:nvSpPr>
      <xdr:spPr>
        <a:xfrm>
          <a:off x="12601575" y="695325"/>
          <a:ext cx="57150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600"/>
            <a:t>Ж=3</a:t>
          </a:r>
        </a:p>
      </xdr:txBody>
    </xdr:sp>
    <xdr:clientData/>
  </xdr:oneCellAnchor>
  <xdr:twoCellAnchor>
    <xdr:from>
      <xdr:col>19</xdr:col>
      <xdr:colOff>123825</xdr:colOff>
      <xdr:row>6</xdr:row>
      <xdr:rowOff>133350</xdr:rowOff>
    </xdr:from>
    <xdr:to>
      <xdr:col>19</xdr:col>
      <xdr:colOff>352425</xdr:colOff>
      <xdr:row>18</xdr:row>
      <xdr:rowOff>47625</xdr:rowOff>
    </xdr:to>
    <xdr:cxnSp macro="">
      <xdr:nvCxnSpPr>
        <xdr:cNvPr id="67" name="Прямая со стрелкой 66">
          <a:extLst>
            <a:ext uri="{FF2B5EF4-FFF2-40B4-BE49-F238E27FC236}">
              <a16:creationId xmlns:a16="http://schemas.microsoft.com/office/drawing/2014/main" id="{5C784492-46B7-77DC-3C65-584A5F74C60C}"/>
            </a:ext>
          </a:extLst>
        </xdr:cNvPr>
        <xdr:cNvCxnSpPr>
          <a:stCxn id="12" idx="4"/>
          <a:endCxn id="7" idx="0"/>
        </xdr:cNvCxnSpPr>
      </xdr:nvCxnSpPr>
      <xdr:spPr>
        <a:xfrm>
          <a:off x="12620625" y="1847850"/>
          <a:ext cx="228600" cy="2200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190500</xdr:colOff>
      <xdr:row>10</xdr:row>
      <xdr:rowOff>57150</xdr:rowOff>
    </xdr:from>
    <xdr:ext cx="488082" cy="342786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8F16F0D2-A295-4787-95CF-DE097FB4D9F1}"/>
            </a:ext>
          </a:extLst>
        </xdr:cNvPr>
        <xdr:cNvSpPr txBox="1"/>
      </xdr:nvSpPr>
      <xdr:spPr>
        <a:xfrm>
          <a:off x="12687300" y="2533650"/>
          <a:ext cx="48808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З=7</a:t>
          </a:r>
        </a:p>
      </xdr:txBody>
    </xdr:sp>
    <xdr:clientData/>
  </xdr:oneCellAnchor>
  <xdr:twoCellAnchor>
    <xdr:from>
      <xdr:col>13</xdr:col>
      <xdr:colOff>361950</xdr:colOff>
      <xdr:row>6</xdr:row>
      <xdr:rowOff>123825</xdr:rowOff>
    </xdr:from>
    <xdr:to>
      <xdr:col>14</xdr:col>
      <xdr:colOff>85725</xdr:colOff>
      <xdr:row>19</xdr:row>
      <xdr:rowOff>142875</xdr:rowOff>
    </xdr:to>
    <xdr:cxnSp macro="">
      <xdr:nvCxnSpPr>
        <xdr:cNvPr id="84" name="Прямая со стрелкой 83">
          <a:extLst>
            <a:ext uri="{FF2B5EF4-FFF2-40B4-BE49-F238E27FC236}">
              <a16:creationId xmlns:a16="http://schemas.microsoft.com/office/drawing/2014/main" id="{E5AB1D94-6C42-CC2A-915B-9BA4C94744B5}"/>
            </a:ext>
          </a:extLst>
        </xdr:cNvPr>
        <xdr:cNvCxnSpPr>
          <a:stCxn id="2" idx="4"/>
          <a:endCxn id="6" idx="0"/>
        </xdr:cNvCxnSpPr>
      </xdr:nvCxnSpPr>
      <xdr:spPr>
        <a:xfrm>
          <a:off x="8848725" y="1838325"/>
          <a:ext cx="333375" cy="249555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294516</xdr:colOff>
      <xdr:row>22</xdr:row>
      <xdr:rowOff>42921</xdr:rowOff>
    </xdr:from>
    <xdr:to>
      <xdr:col>16</xdr:col>
      <xdr:colOff>591309</xdr:colOff>
      <xdr:row>25</xdr:row>
      <xdr:rowOff>147579</xdr:rowOff>
    </xdr:to>
    <xdr:cxnSp macro="">
      <xdr:nvCxnSpPr>
        <xdr:cNvPr id="96" name="Прямая со стрелкой 95">
          <a:extLst>
            <a:ext uri="{FF2B5EF4-FFF2-40B4-BE49-F238E27FC236}">
              <a16:creationId xmlns:a16="http://schemas.microsoft.com/office/drawing/2014/main" id="{37DF9B52-81BD-36F3-E267-3FDF0B896037}"/>
            </a:ext>
          </a:extLst>
        </xdr:cNvPr>
        <xdr:cNvCxnSpPr>
          <a:stCxn id="6" idx="5"/>
          <a:endCxn id="5" idx="1"/>
        </xdr:cNvCxnSpPr>
      </xdr:nvCxnSpPr>
      <xdr:spPr>
        <a:xfrm>
          <a:off x="9390891" y="4805421"/>
          <a:ext cx="1515993" cy="67615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9525</xdr:colOff>
      <xdr:row>23</xdr:row>
      <xdr:rowOff>161925</xdr:rowOff>
    </xdr:from>
    <xdr:ext cx="522515" cy="342786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78CB79A3-4336-46EB-8F0E-A6875C3A1C93}"/>
            </a:ext>
          </a:extLst>
        </xdr:cNvPr>
        <xdr:cNvSpPr txBox="1"/>
      </xdr:nvSpPr>
      <xdr:spPr>
        <a:xfrm>
          <a:off x="9715500" y="5114925"/>
          <a:ext cx="52251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И=6</a:t>
          </a:r>
        </a:p>
      </xdr:txBody>
    </xdr:sp>
    <xdr:clientData/>
  </xdr:oneCellAnchor>
  <xdr:twoCellAnchor>
    <xdr:from>
      <xdr:col>17</xdr:col>
      <xdr:colOff>399291</xdr:colOff>
      <xdr:row>20</xdr:row>
      <xdr:rowOff>170691</xdr:rowOff>
    </xdr:from>
    <xdr:to>
      <xdr:col>19</xdr:col>
      <xdr:colOff>130164</xdr:colOff>
      <xdr:row>25</xdr:row>
      <xdr:rowOff>147579</xdr:rowOff>
    </xdr:to>
    <xdr:cxnSp macro="">
      <xdr:nvCxnSpPr>
        <xdr:cNvPr id="101" name="Прямая со стрелкой 100">
          <a:extLst>
            <a:ext uri="{FF2B5EF4-FFF2-40B4-BE49-F238E27FC236}">
              <a16:creationId xmlns:a16="http://schemas.microsoft.com/office/drawing/2014/main" id="{83588069-3768-75FC-3374-0B0DDFC412DE}"/>
            </a:ext>
          </a:extLst>
        </xdr:cNvPr>
        <xdr:cNvCxnSpPr>
          <a:stCxn id="7" idx="3"/>
          <a:endCxn id="5" idx="7"/>
        </xdr:cNvCxnSpPr>
      </xdr:nvCxnSpPr>
      <xdr:spPr>
        <a:xfrm flipH="1">
          <a:off x="11676891" y="4552191"/>
          <a:ext cx="950073" cy="929388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485775</xdr:colOff>
      <xdr:row>26</xdr:row>
      <xdr:rowOff>152400</xdr:rowOff>
    </xdr:from>
    <xdr:to>
      <xdr:col>20</xdr:col>
      <xdr:colOff>361950</xdr:colOff>
      <xdr:row>26</xdr:row>
      <xdr:rowOff>161925</xdr:rowOff>
    </xdr:to>
    <xdr:cxnSp macro="">
      <xdr:nvCxnSpPr>
        <xdr:cNvPr id="103" name="Прямая со стрелкой 102">
          <a:extLst>
            <a:ext uri="{FF2B5EF4-FFF2-40B4-BE49-F238E27FC236}">
              <a16:creationId xmlns:a16="http://schemas.microsoft.com/office/drawing/2014/main" id="{9D0BF491-10DA-5F16-0ACC-F289B9B10093}"/>
            </a:ext>
          </a:extLst>
        </xdr:cNvPr>
        <xdr:cNvCxnSpPr>
          <a:stCxn id="5" idx="6"/>
          <a:endCxn id="105" idx="2"/>
        </xdr:cNvCxnSpPr>
      </xdr:nvCxnSpPr>
      <xdr:spPr>
        <a:xfrm>
          <a:off x="11410950" y="5676900"/>
          <a:ext cx="17049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361950</xdr:colOff>
      <xdr:row>25</xdr:row>
      <xdr:rowOff>76200</xdr:rowOff>
    </xdr:from>
    <xdr:to>
      <xdr:col>21</xdr:col>
      <xdr:colOff>342900</xdr:colOff>
      <xdr:row>28</xdr:row>
      <xdr:rowOff>57150</xdr:rowOff>
    </xdr:to>
    <xdr:sp macro="" textlink="">
      <xdr:nvSpPr>
        <xdr:cNvPr id="105" name="Овал 104">
          <a:extLst>
            <a:ext uri="{FF2B5EF4-FFF2-40B4-BE49-F238E27FC236}">
              <a16:creationId xmlns:a16="http://schemas.microsoft.com/office/drawing/2014/main" id="{07820621-8EC7-4D48-9DE7-DAA8D16ADDF0}"/>
            </a:ext>
          </a:extLst>
        </xdr:cNvPr>
        <xdr:cNvSpPr/>
      </xdr:nvSpPr>
      <xdr:spPr>
        <a:xfrm>
          <a:off x="13115925" y="5410200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12</a:t>
          </a:r>
        </a:p>
      </xdr:txBody>
    </xdr:sp>
    <xdr:clientData/>
  </xdr:twoCellAnchor>
  <xdr:twoCellAnchor>
    <xdr:from>
      <xdr:col>21</xdr:col>
      <xdr:colOff>190500</xdr:colOff>
      <xdr:row>8</xdr:row>
      <xdr:rowOff>133350</xdr:rowOff>
    </xdr:from>
    <xdr:to>
      <xdr:col>22</xdr:col>
      <xdr:colOff>171450</xdr:colOff>
      <xdr:row>11</xdr:row>
      <xdr:rowOff>114300</xdr:rowOff>
    </xdr:to>
    <xdr:sp macro="" textlink="">
      <xdr:nvSpPr>
        <xdr:cNvPr id="107" name="Овал 106">
          <a:extLst>
            <a:ext uri="{FF2B5EF4-FFF2-40B4-BE49-F238E27FC236}">
              <a16:creationId xmlns:a16="http://schemas.microsoft.com/office/drawing/2014/main" id="{4C7DAB49-AE1B-44C3-91EF-0AD0BC7E7D4C}"/>
            </a:ext>
          </a:extLst>
        </xdr:cNvPr>
        <xdr:cNvSpPr/>
      </xdr:nvSpPr>
      <xdr:spPr>
        <a:xfrm>
          <a:off x="13554075" y="2228850"/>
          <a:ext cx="590550" cy="5524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800"/>
            <a:t>13</a:t>
          </a:r>
        </a:p>
      </xdr:txBody>
    </xdr:sp>
    <xdr:clientData/>
  </xdr:twoCellAnchor>
  <xdr:oneCellAnchor>
    <xdr:from>
      <xdr:col>18</xdr:col>
      <xdr:colOff>390525</xdr:colOff>
      <xdr:row>26</xdr:row>
      <xdr:rowOff>152400</xdr:rowOff>
    </xdr:from>
    <xdr:ext cx="502317" cy="342786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3B587B8B-D567-4FFA-937A-EB729283B44A}"/>
            </a:ext>
          </a:extLst>
        </xdr:cNvPr>
        <xdr:cNvSpPr txBox="1"/>
      </xdr:nvSpPr>
      <xdr:spPr>
        <a:xfrm>
          <a:off x="11925300" y="5676900"/>
          <a:ext cx="50231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К=4</a:t>
          </a:r>
        </a:p>
      </xdr:txBody>
    </xdr:sp>
    <xdr:clientData/>
  </xdr:oneCellAnchor>
  <xdr:twoCellAnchor>
    <xdr:from>
      <xdr:col>21</xdr:col>
      <xdr:colOff>47625</xdr:colOff>
      <xdr:row>11</xdr:row>
      <xdr:rowOff>114300</xdr:rowOff>
    </xdr:from>
    <xdr:to>
      <xdr:col>21</xdr:col>
      <xdr:colOff>485775</xdr:colOff>
      <xdr:row>25</xdr:row>
      <xdr:rowOff>76200</xdr:rowOff>
    </xdr:to>
    <xdr:cxnSp macro="">
      <xdr:nvCxnSpPr>
        <xdr:cNvPr id="112" name="Прямая со стрелкой 111">
          <a:extLst>
            <a:ext uri="{FF2B5EF4-FFF2-40B4-BE49-F238E27FC236}">
              <a16:creationId xmlns:a16="http://schemas.microsoft.com/office/drawing/2014/main" id="{8AC19F2A-F6C1-20AE-5EBF-21372AB2ED91}"/>
            </a:ext>
          </a:extLst>
        </xdr:cNvPr>
        <xdr:cNvCxnSpPr>
          <a:stCxn id="105" idx="0"/>
          <a:endCxn id="107" idx="4"/>
        </xdr:cNvCxnSpPr>
      </xdr:nvCxnSpPr>
      <xdr:spPr>
        <a:xfrm flipV="1">
          <a:off x="13411200" y="2781300"/>
          <a:ext cx="438150" cy="2628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247650</xdr:colOff>
      <xdr:row>17</xdr:row>
      <xdr:rowOff>161925</xdr:rowOff>
    </xdr:from>
    <xdr:ext cx="516232" cy="342786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4EB36EC-CE34-4351-802C-CEC110B89CE0}"/>
            </a:ext>
          </a:extLst>
        </xdr:cNvPr>
        <xdr:cNvSpPr txBox="1"/>
      </xdr:nvSpPr>
      <xdr:spPr>
        <a:xfrm>
          <a:off x="13611225" y="3971925"/>
          <a:ext cx="51623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Л=8</a:t>
          </a:r>
        </a:p>
      </xdr:txBody>
    </xdr:sp>
    <xdr:clientData/>
  </xdr:oneCellAnchor>
  <xdr:twoCellAnchor>
    <xdr:from>
      <xdr:col>17</xdr:col>
      <xdr:colOff>371475</xdr:colOff>
      <xdr:row>11</xdr:row>
      <xdr:rowOff>33396</xdr:rowOff>
    </xdr:from>
    <xdr:to>
      <xdr:col>21</xdr:col>
      <xdr:colOff>276984</xdr:colOff>
      <xdr:row>18</xdr:row>
      <xdr:rowOff>57150</xdr:rowOff>
    </xdr:to>
    <xdr:cxnSp macro="">
      <xdr:nvCxnSpPr>
        <xdr:cNvPr id="115" name="Прямая со стрелкой 114">
          <a:extLst>
            <a:ext uri="{FF2B5EF4-FFF2-40B4-BE49-F238E27FC236}">
              <a16:creationId xmlns:a16="http://schemas.microsoft.com/office/drawing/2014/main" id="{33AE534B-5714-E2F2-A9EE-749DD13B883F}"/>
            </a:ext>
          </a:extLst>
        </xdr:cNvPr>
        <xdr:cNvCxnSpPr>
          <a:cxnSpLocks/>
          <a:stCxn id="8" idx="6"/>
          <a:endCxn id="107" idx="3"/>
        </xdr:cNvCxnSpPr>
      </xdr:nvCxnSpPr>
      <xdr:spPr>
        <a:xfrm flipV="1">
          <a:off x="11649075" y="2700396"/>
          <a:ext cx="2343909" cy="135725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476250</xdr:colOff>
      <xdr:row>13</xdr:row>
      <xdr:rowOff>152400</xdr:rowOff>
    </xdr:from>
    <xdr:ext cx="566309" cy="314325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46B947E7-3816-461A-A32B-530302BA2516}"/>
            </a:ext>
          </a:extLst>
        </xdr:cNvPr>
        <xdr:cNvSpPr txBox="1"/>
      </xdr:nvSpPr>
      <xdr:spPr>
        <a:xfrm>
          <a:off x="12973050" y="3200400"/>
          <a:ext cx="566309" cy="3143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600"/>
            <a:t>М=1</a:t>
          </a:r>
        </a:p>
      </xdr:txBody>
    </xdr:sp>
    <xdr:clientData/>
  </xdr:oneCellAnchor>
  <xdr:twoCellAnchor>
    <xdr:from>
      <xdr:col>15</xdr:col>
      <xdr:colOff>447675</xdr:colOff>
      <xdr:row>1</xdr:row>
      <xdr:rowOff>85725</xdr:rowOff>
    </xdr:from>
    <xdr:to>
      <xdr:col>18</xdr:col>
      <xdr:colOff>524634</xdr:colOff>
      <xdr:row>4</xdr:row>
      <xdr:rowOff>42804</xdr:rowOff>
    </xdr:to>
    <xdr:cxnSp macro="">
      <xdr:nvCxnSpPr>
        <xdr:cNvPr id="157" name="Прямая со стрелкой 156">
          <a:extLst>
            <a:ext uri="{FF2B5EF4-FFF2-40B4-BE49-F238E27FC236}">
              <a16:creationId xmlns:a16="http://schemas.microsoft.com/office/drawing/2014/main" id="{39F9CBA0-07D5-1973-9803-B256B7190B05}"/>
            </a:ext>
          </a:extLst>
        </xdr:cNvPr>
        <xdr:cNvCxnSpPr>
          <a:stCxn id="10" idx="6"/>
          <a:endCxn id="12" idx="1"/>
        </xdr:cNvCxnSpPr>
      </xdr:nvCxnSpPr>
      <xdr:spPr>
        <a:xfrm>
          <a:off x="10153650" y="276225"/>
          <a:ext cx="1905759" cy="110007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419100</xdr:colOff>
      <xdr:row>5</xdr:row>
      <xdr:rowOff>47625</xdr:rowOff>
    </xdr:from>
    <xdr:to>
      <xdr:col>21</xdr:col>
      <xdr:colOff>276984</xdr:colOff>
      <xdr:row>9</xdr:row>
      <xdr:rowOff>23754</xdr:rowOff>
    </xdr:to>
    <xdr:cxnSp macro="">
      <xdr:nvCxnSpPr>
        <xdr:cNvPr id="159" name="Прямая со стрелкой 158">
          <a:extLst>
            <a:ext uri="{FF2B5EF4-FFF2-40B4-BE49-F238E27FC236}">
              <a16:creationId xmlns:a16="http://schemas.microsoft.com/office/drawing/2014/main" id="{9A81CC36-EF59-61A1-C57C-176242DCC88E}"/>
            </a:ext>
          </a:extLst>
        </xdr:cNvPr>
        <xdr:cNvCxnSpPr>
          <a:cxnSpLocks/>
          <a:stCxn id="12" idx="6"/>
          <a:endCxn id="107" idx="1"/>
        </xdr:cNvCxnSpPr>
      </xdr:nvCxnSpPr>
      <xdr:spPr>
        <a:xfrm>
          <a:off x="12563475" y="1571625"/>
          <a:ext cx="1077084" cy="7381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104775</xdr:colOff>
      <xdr:row>5</xdr:row>
      <xdr:rowOff>47625</xdr:rowOff>
    </xdr:from>
    <xdr:ext cx="526747" cy="342786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FB6B1FE-E4EF-4E12-89E2-F8F4A8957E7E}"/>
            </a:ext>
          </a:extLst>
        </xdr:cNvPr>
        <xdr:cNvSpPr txBox="1"/>
      </xdr:nvSpPr>
      <xdr:spPr>
        <a:xfrm>
          <a:off x="12858750" y="1571625"/>
          <a:ext cx="52674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600"/>
            <a:t>О=2</a:t>
          </a:r>
        </a:p>
      </xdr:txBody>
    </xdr:sp>
    <xdr:clientData/>
  </xdr:oneCellAnchor>
  <xdr:twoCellAnchor>
    <xdr:from>
      <xdr:col>17</xdr:col>
      <xdr:colOff>76200</xdr:colOff>
      <xdr:row>6</xdr:row>
      <xdr:rowOff>52446</xdr:rowOff>
    </xdr:from>
    <xdr:to>
      <xdr:col>18</xdr:col>
      <xdr:colOff>524634</xdr:colOff>
      <xdr:row>16</xdr:row>
      <xdr:rowOff>161925</xdr:rowOff>
    </xdr:to>
    <xdr:cxnSp macro="">
      <xdr:nvCxnSpPr>
        <xdr:cNvPr id="241" name="Прямая со стрелкой 240">
          <a:extLst>
            <a:ext uri="{FF2B5EF4-FFF2-40B4-BE49-F238E27FC236}">
              <a16:creationId xmlns:a16="http://schemas.microsoft.com/office/drawing/2014/main" id="{8541F3B4-7F6A-973F-B881-EF7F5950110B}"/>
            </a:ext>
          </a:extLst>
        </xdr:cNvPr>
        <xdr:cNvCxnSpPr>
          <a:stCxn id="8" idx="0"/>
          <a:endCxn id="12" idx="3"/>
        </xdr:cNvCxnSpPr>
      </xdr:nvCxnSpPr>
      <xdr:spPr>
        <a:xfrm flipV="1">
          <a:off x="11353800" y="1766946"/>
          <a:ext cx="1058034" cy="2014479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590550</xdr:colOff>
      <xdr:row>2</xdr:row>
      <xdr:rowOff>0</xdr:rowOff>
    </xdr:from>
    <xdr:to>
      <xdr:col>19</xdr:col>
      <xdr:colOff>123825</xdr:colOff>
      <xdr:row>3</xdr:row>
      <xdr:rowOff>152400</xdr:rowOff>
    </xdr:to>
    <xdr:cxnSp macro="">
      <xdr:nvCxnSpPr>
        <xdr:cNvPr id="244" name="Прямая со стрелкой 243">
          <a:extLst>
            <a:ext uri="{FF2B5EF4-FFF2-40B4-BE49-F238E27FC236}">
              <a16:creationId xmlns:a16="http://schemas.microsoft.com/office/drawing/2014/main" id="{666DE02E-62B5-12E5-D19C-270CAFF490F0}"/>
            </a:ext>
          </a:extLst>
        </xdr:cNvPr>
        <xdr:cNvCxnSpPr>
          <a:stCxn id="11" idx="4"/>
          <a:endCxn id="12" idx="0"/>
        </xdr:cNvCxnSpPr>
      </xdr:nvCxnSpPr>
      <xdr:spPr>
        <a:xfrm>
          <a:off x="13049250" y="571500"/>
          <a:ext cx="14287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28575</xdr:rowOff>
    </xdr:from>
    <xdr:to>
      <xdr:col>23</xdr:col>
      <xdr:colOff>20074</xdr:colOff>
      <xdr:row>29</xdr:row>
      <xdr:rowOff>172246</xdr:rowOff>
    </xdr:to>
    <xdr:pic>
      <xdr:nvPicPr>
        <xdr:cNvPr id="54" name="Рисунок 53">
          <a:extLst>
            <a:ext uri="{FF2B5EF4-FFF2-40B4-BE49-F238E27FC236}">
              <a16:creationId xmlns:a16="http://schemas.microsoft.com/office/drawing/2014/main" id="{B33106C5-1C3A-083E-20BF-B0DA8C62D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28575"/>
          <a:ext cx="7335274" cy="5706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38100</xdr:rowOff>
    </xdr:from>
    <xdr:to>
      <xdr:col>23</xdr:col>
      <xdr:colOff>20074</xdr:colOff>
      <xdr:row>29</xdr:row>
      <xdr:rowOff>181771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DC910881-ACAE-4F73-B172-FA659FF20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2075" y="38100"/>
          <a:ext cx="7335274" cy="5706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H6" sqref="H6"/>
    </sheetView>
  </sheetViews>
  <sheetFormatPr defaultRowHeight="15" x14ac:dyDescent="0.25"/>
  <cols>
    <col min="1" max="1" width="11.28515625" customWidth="1"/>
    <col min="2" max="2" width="10.85546875" customWidth="1"/>
    <col min="6" max="6" width="22" customWidth="1"/>
    <col min="7" max="7" width="14.7109375" customWidth="1"/>
  </cols>
  <sheetData>
    <row r="1" spans="1:7" x14ac:dyDescent="0.25">
      <c r="A1" s="8" t="s">
        <v>0</v>
      </c>
      <c r="B1" s="8"/>
      <c r="C1" s="8"/>
    </row>
    <row r="2" spans="1:7" ht="30" x14ac:dyDescent="0.25">
      <c r="A2" s="1" t="s">
        <v>1</v>
      </c>
      <c r="B2" s="1" t="s">
        <v>2</v>
      </c>
      <c r="C2" s="1" t="s">
        <v>3</v>
      </c>
      <c r="F2" s="2" t="s">
        <v>4</v>
      </c>
      <c r="G2" s="3" t="s">
        <v>5</v>
      </c>
    </row>
    <row r="3" spans="1:7" x14ac:dyDescent="0.25">
      <c r="A3" s="1">
        <v>1</v>
      </c>
      <c r="B3" s="1">
        <v>2</v>
      </c>
      <c r="C3" s="1">
        <v>4</v>
      </c>
      <c r="F3" s="9" t="s">
        <v>29</v>
      </c>
      <c r="G3" s="9">
        <f>C3+C8+C9+C13+C16</f>
        <v>6</v>
      </c>
    </row>
    <row r="4" spans="1:7" x14ac:dyDescent="0.25">
      <c r="A4" s="1">
        <v>1</v>
      </c>
      <c r="B4" s="1">
        <v>3</v>
      </c>
      <c r="C4" s="1">
        <v>5</v>
      </c>
      <c r="F4" s="4" t="s">
        <v>8</v>
      </c>
      <c r="G4" s="4">
        <f>C3+C5+C11+C19</f>
        <v>8</v>
      </c>
    </row>
    <row r="5" spans="1:7" x14ac:dyDescent="0.25">
      <c r="A5" s="1">
        <v>2</v>
      </c>
      <c r="B5" s="1">
        <v>4</v>
      </c>
      <c r="C5" s="1">
        <v>2</v>
      </c>
      <c r="F5" s="4" t="s">
        <v>9</v>
      </c>
      <c r="G5" s="4">
        <f>C3+C5+C11+C20+C21+C22</f>
        <v>18</v>
      </c>
    </row>
    <row r="6" spans="1:7" x14ac:dyDescent="0.25">
      <c r="A6" s="1">
        <v>2</v>
      </c>
      <c r="B6" s="1">
        <v>5</v>
      </c>
      <c r="C6" s="1">
        <v>7</v>
      </c>
      <c r="F6" s="5" t="s">
        <v>10</v>
      </c>
      <c r="G6" s="4">
        <f>C3+C6+C12+C14+C19</f>
        <v>23</v>
      </c>
    </row>
    <row r="7" spans="1:7" x14ac:dyDescent="0.25">
      <c r="A7" s="1">
        <v>2</v>
      </c>
      <c r="B7" s="1">
        <v>6</v>
      </c>
      <c r="C7" s="1">
        <v>8</v>
      </c>
      <c r="F7" s="4" t="s">
        <v>11</v>
      </c>
      <c r="G7" s="4">
        <f>C3+C6+C12+C14+C18+C20+C21+C22</f>
        <v>40</v>
      </c>
    </row>
    <row r="8" spans="1:7" x14ac:dyDescent="0.25">
      <c r="A8" s="1">
        <v>2</v>
      </c>
      <c r="B8" s="1">
        <v>3</v>
      </c>
      <c r="C8" s="1">
        <v>0</v>
      </c>
      <c r="F8" s="4" t="s">
        <v>12</v>
      </c>
      <c r="G8" s="4">
        <f>C3+C6+C12+C13+C16</f>
        <v>13</v>
      </c>
    </row>
    <row r="9" spans="1:7" x14ac:dyDescent="0.25">
      <c r="A9" s="1">
        <v>3</v>
      </c>
      <c r="B9" s="1">
        <v>6</v>
      </c>
      <c r="C9" s="1">
        <v>0</v>
      </c>
      <c r="F9" s="4" t="s">
        <v>13</v>
      </c>
      <c r="G9" s="4">
        <f>C3+C6+C12+C13+C15+C19</f>
        <v>14</v>
      </c>
    </row>
    <row r="10" spans="1:7" x14ac:dyDescent="0.25">
      <c r="A10" s="1">
        <v>3</v>
      </c>
      <c r="B10" s="1">
        <v>11</v>
      </c>
      <c r="C10" s="1">
        <v>6</v>
      </c>
      <c r="F10" s="4" t="s">
        <v>14</v>
      </c>
      <c r="G10" s="4">
        <f>C3+C6+C12+C13+C15+C18+C20+C21+C22</f>
        <v>31</v>
      </c>
    </row>
    <row r="11" spans="1:7" x14ac:dyDescent="0.25">
      <c r="A11" s="1">
        <v>4</v>
      </c>
      <c r="B11" s="1">
        <v>9</v>
      </c>
      <c r="C11" s="1">
        <v>0</v>
      </c>
      <c r="F11" s="4" t="s">
        <v>15</v>
      </c>
      <c r="G11" s="4">
        <f>C3+C7+C14+C19</f>
        <v>24</v>
      </c>
    </row>
    <row r="12" spans="1:7" x14ac:dyDescent="0.25">
      <c r="A12" s="1">
        <v>5</v>
      </c>
      <c r="B12" s="1">
        <v>6</v>
      </c>
      <c r="C12" s="1">
        <v>0</v>
      </c>
      <c r="F12" s="4" t="s">
        <v>16</v>
      </c>
      <c r="G12" s="4">
        <f>C3+C7+C14+C18+C20+C21+C22</f>
        <v>41</v>
      </c>
    </row>
    <row r="13" spans="1:7" x14ac:dyDescent="0.25">
      <c r="A13" s="1">
        <v>6</v>
      </c>
      <c r="B13" s="1">
        <v>7</v>
      </c>
      <c r="C13" s="1">
        <v>1</v>
      </c>
      <c r="F13" s="6" t="s">
        <v>17</v>
      </c>
      <c r="G13" s="4">
        <f>C3+C7+C13+C16</f>
        <v>14</v>
      </c>
    </row>
    <row r="14" spans="1:7" x14ac:dyDescent="0.25">
      <c r="A14" s="1">
        <v>6</v>
      </c>
      <c r="B14" s="1">
        <v>9</v>
      </c>
      <c r="C14" s="1">
        <v>10</v>
      </c>
      <c r="F14" s="7" t="s">
        <v>18</v>
      </c>
      <c r="G14" s="4">
        <f>C3+C7+C13+C15+C19</f>
        <v>15</v>
      </c>
    </row>
    <row r="15" spans="1:7" x14ac:dyDescent="0.25">
      <c r="A15" s="1">
        <v>7</v>
      </c>
      <c r="B15" s="1">
        <v>9</v>
      </c>
      <c r="C15" s="1">
        <v>0</v>
      </c>
      <c r="F15" s="7" t="s">
        <v>19</v>
      </c>
      <c r="G15" s="4">
        <f>C3+C7+C13+C15+C18+C20+C21+C22</f>
        <v>32</v>
      </c>
    </row>
    <row r="16" spans="1:7" x14ac:dyDescent="0.25">
      <c r="A16" s="1">
        <v>7</v>
      </c>
      <c r="B16" s="1">
        <v>13</v>
      </c>
      <c r="C16" s="1">
        <v>1</v>
      </c>
      <c r="F16" s="7" t="s">
        <v>20</v>
      </c>
      <c r="G16" s="4">
        <f>C4+C10+C21+C22</f>
        <v>23</v>
      </c>
    </row>
    <row r="17" spans="1:7" x14ac:dyDescent="0.25">
      <c r="A17" s="1">
        <v>8</v>
      </c>
      <c r="B17" s="1">
        <v>9</v>
      </c>
      <c r="C17" s="1">
        <v>3</v>
      </c>
      <c r="F17" s="7" t="s">
        <v>21</v>
      </c>
      <c r="G17" s="4">
        <f>C4+C9+C14+C19</f>
        <v>17</v>
      </c>
    </row>
    <row r="18" spans="1:7" x14ac:dyDescent="0.25">
      <c r="A18" s="1">
        <v>9</v>
      </c>
      <c r="B18" s="1">
        <v>10</v>
      </c>
      <c r="C18" s="1">
        <v>7</v>
      </c>
      <c r="F18" s="7" t="s">
        <v>25</v>
      </c>
      <c r="G18" s="4">
        <f>C4+C9+C14+C18+C20+C21+C22</f>
        <v>34</v>
      </c>
    </row>
    <row r="19" spans="1:7" x14ac:dyDescent="0.25">
      <c r="A19" s="1">
        <v>9</v>
      </c>
      <c r="B19" s="1">
        <v>13</v>
      </c>
      <c r="C19" s="1">
        <v>2</v>
      </c>
      <c r="F19" s="12" t="s">
        <v>22</v>
      </c>
      <c r="G19" s="13">
        <f>C4+C9+C13+C16</f>
        <v>7</v>
      </c>
    </row>
    <row r="20" spans="1:7" x14ac:dyDescent="0.25">
      <c r="A20" s="1">
        <v>10</v>
      </c>
      <c r="B20" s="1">
        <v>11</v>
      </c>
      <c r="C20" s="1">
        <v>0</v>
      </c>
      <c r="F20" s="7" t="s">
        <v>23</v>
      </c>
      <c r="G20" s="4">
        <f>C4+C9+C13+C15+C19</f>
        <v>8</v>
      </c>
    </row>
    <row r="21" spans="1:7" x14ac:dyDescent="0.25">
      <c r="A21" s="1">
        <v>11</v>
      </c>
      <c r="B21" s="1">
        <v>12</v>
      </c>
      <c r="C21" s="1">
        <v>4</v>
      </c>
      <c r="F21" s="7" t="s">
        <v>24</v>
      </c>
      <c r="G21" s="4">
        <f>C4+C9+C13+C15+C18+C20+C21+C22</f>
        <v>25</v>
      </c>
    </row>
    <row r="22" spans="1:7" x14ac:dyDescent="0.25">
      <c r="A22" s="1">
        <v>12</v>
      </c>
      <c r="B22" s="1">
        <v>13</v>
      </c>
      <c r="C22" s="1">
        <v>8</v>
      </c>
      <c r="F22" s="14" t="s">
        <v>6</v>
      </c>
      <c r="G22" s="9">
        <f>MIN(G3:G21)</f>
        <v>6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B6A0-CFFE-45D7-9A27-5C3CC4E732DE}">
  <dimension ref="A1:F22"/>
  <sheetViews>
    <sheetView workbookViewId="0">
      <selection activeCell="F3" sqref="F3"/>
    </sheetView>
  </sheetViews>
  <sheetFormatPr defaultRowHeight="15" x14ac:dyDescent="0.25"/>
  <cols>
    <col min="1" max="1" width="13.7109375" customWidth="1"/>
    <col min="2" max="2" width="14.5703125" customWidth="1"/>
    <col min="3" max="3" width="15" customWidth="1"/>
    <col min="4" max="5" width="15.42578125" customWidth="1"/>
  </cols>
  <sheetData>
    <row r="1" spans="1:6" x14ac:dyDescent="0.25">
      <c r="A1" s="8" t="s">
        <v>0</v>
      </c>
      <c r="B1" s="8"/>
      <c r="C1" s="8"/>
    </row>
    <row r="2" spans="1:6" ht="18" x14ac:dyDescent="0.25">
      <c r="A2" s="1" t="s">
        <v>1</v>
      </c>
      <c r="B2" s="1" t="s">
        <v>2</v>
      </c>
      <c r="C2" s="1" t="s">
        <v>3</v>
      </c>
      <c r="D2" s="10" t="s">
        <v>26</v>
      </c>
      <c r="E2" s="10" t="s">
        <v>27</v>
      </c>
      <c r="F2" s="10" t="s">
        <v>28</v>
      </c>
    </row>
    <row r="3" spans="1:6" x14ac:dyDescent="0.25">
      <c r="A3" s="1">
        <v>1</v>
      </c>
      <c r="B3" s="1">
        <v>2</v>
      </c>
      <c r="C3" s="1">
        <v>4</v>
      </c>
      <c r="D3" s="4">
        <v>1</v>
      </c>
      <c r="E3" s="4">
        <f>D3+D4</f>
        <v>1</v>
      </c>
      <c r="F3" s="4">
        <f>SUMPRODUCT(C3:C22,D3:D22)</f>
        <v>6</v>
      </c>
    </row>
    <row r="4" spans="1:6" x14ac:dyDescent="0.25">
      <c r="A4" s="1">
        <v>1</v>
      </c>
      <c r="B4" s="1">
        <v>3</v>
      </c>
      <c r="C4" s="1">
        <v>5</v>
      </c>
      <c r="D4" s="4">
        <v>0</v>
      </c>
      <c r="E4" s="4">
        <f>D3-D5-D6-D7-D8</f>
        <v>0</v>
      </c>
      <c r="F4" s="11"/>
    </row>
    <row r="5" spans="1:6" x14ac:dyDescent="0.25">
      <c r="A5" s="1">
        <v>2</v>
      </c>
      <c r="B5" s="1">
        <v>4</v>
      </c>
      <c r="C5" s="1">
        <v>2</v>
      </c>
      <c r="D5" s="4">
        <v>0</v>
      </c>
      <c r="E5" s="4">
        <f>D4+D8-D9-D10</f>
        <v>0</v>
      </c>
      <c r="F5" s="11"/>
    </row>
    <row r="6" spans="1:6" x14ac:dyDescent="0.25">
      <c r="A6" s="1">
        <v>2</v>
      </c>
      <c r="B6" s="1">
        <v>5</v>
      </c>
      <c r="C6" s="1">
        <v>7</v>
      </c>
      <c r="D6" s="4">
        <v>0</v>
      </c>
      <c r="E6" s="4">
        <f>D5-D11</f>
        <v>0</v>
      </c>
      <c r="F6" s="11"/>
    </row>
    <row r="7" spans="1:6" x14ac:dyDescent="0.25">
      <c r="A7" s="1">
        <v>2</v>
      </c>
      <c r="B7" s="1">
        <v>6</v>
      </c>
      <c r="C7" s="1">
        <v>8</v>
      </c>
      <c r="D7" s="4">
        <v>0</v>
      </c>
      <c r="E7" s="4">
        <f>D6-D12</f>
        <v>0</v>
      </c>
      <c r="F7" s="11"/>
    </row>
    <row r="8" spans="1:6" x14ac:dyDescent="0.25">
      <c r="A8" s="1">
        <v>2</v>
      </c>
      <c r="B8" s="1">
        <v>3</v>
      </c>
      <c r="C8" s="1">
        <v>0</v>
      </c>
      <c r="D8" s="4">
        <v>1</v>
      </c>
      <c r="E8" s="4">
        <f>D6+D7+D9-D14-D13</f>
        <v>0</v>
      </c>
      <c r="F8" s="11"/>
    </row>
    <row r="9" spans="1:6" x14ac:dyDescent="0.25">
      <c r="A9" s="1">
        <v>3</v>
      </c>
      <c r="B9" s="1">
        <v>6</v>
      </c>
      <c r="C9" s="1">
        <v>0</v>
      </c>
      <c r="D9" s="4">
        <v>1</v>
      </c>
      <c r="E9" s="4">
        <f>D13-D15-D16</f>
        <v>0</v>
      </c>
      <c r="F9" s="11"/>
    </row>
    <row r="10" spans="1:6" x14ac:dyDescent="0.25">
      <c r="A10" s="1">
        <v>3</v>
      </c>
      <c r="B10" s="1">
        <v>11</v>
      </c>
      <c r="C10" s="1">
        <v>6</v>
      </c>
      <c r="D10" s="4">
        <v>0</v>
      </c>
      <c r="E10" s="4">
        <f>D17</f>
        <v>0</v>
      </c>
      <c r="F10" s="11"/>
    </row>
    <row r="11" spans="1:6" x14ac:dyDescent="0.25">
      <c r="A11" s="1">
        <v>4</v>
      </c>
      <c r="B11" s="1">
        <v>9</v>
      </c>
      <c r="C11" s="1">
        <v>0</v>
      </c>
      <c r="D11" s="4">
        <v>0</v>
      </c>
      <c r="E11" s="4">
        <f>D11+D14+D15+D17-D19-D18</f>
        <v>0</v>
      </c>
      <c r="F11" s="11"/>
    </row>
    <row r="12" spans="1:6" x14ac:dyDescent="0.25">
      <c r="A12" s="1">
        <v>5</v>
      </c>
      <c r="B12" s="1">
        <v>6</v>
      </c>
      <c r="C12" s="1">
        <v>0</v>
      </c>
      <c r="D12" s="4">
        <v>0</v>
      </c>
      <c r="E12" s="4">
        <f>D18-D20</f>
        <v>0</v>
      </c>
      <c r="F12" s="11"/>
    </row>
    <row r="13" spans="1:6" x14ac:dyDescent="0.25">
      <c r="A13" s="1">
        <v>6</v>
      </c>
      <c r="B13" s="1">
        <v>7</v>
      </c>
      <c r="C13" s="1">
        <v>1</v>
      </c>
      <c r="D13" s="4">
        <v>1</v>
      </c>
      <c r="E13" s="4">
        <f>D10-D21</f>
        <v>0</v>
      </c>
      <c r="F13" s="11"/>
    </row>
    <row r="14" spans="1:6" x14ac:dyDescent="0.25">
      <c r="A14" s="1">
        <v>6</v>
      </c>
      <c r="B14" s="1">
        <v>9</v>
      </c>
      <c r="C14" s="1">
        <v>10</v>
      </c>
      <c r="D14" s="4">
        <v>0</v>
      </c>
      <c r="E14" s="4">
        <f>D21-D22</f>
        <v>0</v>
      </c>
      <c r="F14" s="11"/>
    </row>
    <row r="15" spans="1:6" x14ac:dyDescent="0.25">
      <c r="A15" s="1">
        <v>7</v>
      </c>
      <c r="B15" s="1">
        <v>9</v>
      </c>
      <c r="C15" s="1">
        <v>0</v>
      </c>
      <c r="D15" s="4">
        <v>0</v>
      </c>
      <c r="E15" s="4">
        <f>D19+D16+D22</f>
        <v>1</v>
      </c>
      <c r="F15" s="11"/>
    </row>
    <row r="16" spans="1:6" x14ac:dyDescent="0.25">
      <c r="A16" s="1">
        <v>7</v>
      </c>
      <c r="B16" s="1">
        <v>13</v>
      </c>
      <c r="C16" s="1">
        <v>1</v>
      </c>
      <c r="D16" s="4">
        <v>1</v>
      </c>
      <c r="E16" s="4"/>
      <c r="F16" s="11"/>
    </row>
    <row r="17" spans="1:6" x14ac:dyDescent="0.25">
      <c r="A17" s="1">
        <v>8</v>
      </c>
      <c r="B17" s="1">
        <v>9</v>
      </c>
      <c r="C17" s="1">
        <v>3</v>
      </c>
      <c r="D17" s="4">
        <v>0</v>
      </c>
      <c r="E17" s="4"/>
      <c r="F17" s="11"/>
    </row>
    <row r="18" spans="1:6" x14ac:dyDescent="0.25">
      <c r="A18" s="1">
        <v>9</v>
      </c>
      <c r="B18" s="1">
        <v>10</v>
      </c>
      <c r="C18" s="1">
        <v>7</v>
      </c>
      <c r="D18" s="4">
        <v>0</v>
      </c>
      <c r="E18" s="4"/>
      <c r="F18" s="11"/>
    </row>
    <row r="19" spans="1:6" x14ac:dyDescent="0.25">
      <c r="A19" s="1">
        <v>9</v>
      </c>
      <c r="B19" s="1">
        <v>13</v>
      </c>
      <c r="C19" s="1">
        <v>2</v>
      </c>
      <c r="D19" s="4">
        <v>0</v>
      </c>
      <c r="E19" s="4"/>
      <c r="F19" s="11"/>
    </row>
    <row r="20" spans="1:6" x14ac:dyDescent="0.25">
      <c r="A20" s="1">
        <v>10</v>
      </c>
      <c r="B20" s="1">
        <v>11</v>
      </c>
      <c r="C20" s="1">
        <v>0</v>
      </c>
      <c r="D20" s="4">
        <v>0</v>
      </c>
      <c r="E20" s="4"/>
      <c r="F20" s="11"/>
    </row>
    <row r="21" spans="1:6" x14ac:dyDescent="0.25">
      <c r="A21" s="1">
        <v>11</v>
      </c>
      <c r="B21" s="1">
        <v>12</v>
      </c>
      <c r="C21" s="1">
        <v>4</v>
      </c>
      <c r="D21" s="4">
        <v>0</v>
      </c>
      <c r="E21" s="4"/>
      <c r="F21" s="11"/>
    </row>
    <row r="22" spans="1:6" x14ac:dyDescent="0.25">
      <c r="A22" s="1">
        <v>12</v>
      </c>
      <c r="B22" s="1">
        <v>13</v>
      </c>
      <c r="C22" s="1">
        <v>8</v>
      </c>
      <c r="D22" s="4">
        <v>0</v>
      </c>
      <c r="E22" s="4"/>
      <c r="F22" s="11"/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10CF-F07A-4FC9-B4EA-9F92BD5793BA}">
  <dimension ref="A1:F22"/>
  <sheetViews>
    <sheetView tabSelected="1" workbookViewId="0">
      <selection activeCell="Z24" sqref="Z24"/>
    </sheetView>
  </sheetViews>
  <sheetFormatPr defaultRowHeight="15" x14ac:dyDescent="0.25"/>
  <cols>
    <col min="1" max="1" width="15" customWidth="1"/>
    <col min="2" max="2" width="12.5703125" customWidth="1"/>
    <col min="3" max="3" width="13.7109375" customWidth="1"/>
    <col min="4" max="4" width="19.7109375" customWidth="1"/>
    <col min="5" max="5" width="18.85546875" customWidth="1"/>
  </cols>
  <sheetData>
    <row r="1" spans="1:6" x14ac:dyDescent="0.25">
      <c r="A1" s="8" t="s">
        <v>7</v>
      </c>
      <c r="B1" s="8"/>
      <c r="C1" s="8"/>
    </row>
    <row r="2" spans="1:6" ht="18" x14ac:dyDescent="0.25">
      <c r="A2" s="1" t="s">
        <v>1</v>
      </c>
      <c r="B2" s="1" t="s">
        <v>2</v>
      </c>
      <c r="C2" s="15" t="s">
        <v>30</v>
      </c>
      <c r="D2" s="10" t="s">
        <v>26</v>
      </c>
      <c r="E2" s="10" t="s">
        <v>27</v>
      </c>
      <c r="F2" s="10" t="s">
        <v>31</v>
      </c>
    </row>
    <row r="3" spans="1:6" x14ac:dyDescent="0.25">
      <c r="A3" s="1">
        <v>1</v>
      </c>
      <c r="B3" s="1">
        <v>2</v>
      </c>
      <c r="C3" s="1">
        <v>4</v>
      </c>
      <c r="D3" s="4">
        <v>3</v>
      </c>
      <c r="E3" s="4">
        <f>D3+D4-D19-D16-D22</f>
        <v>0</v>
      </c>
      <c r="F3" s="4">
        <f>SUM(D3:D22)</f>
        <v>28</v>
      </c>
    </row>
    <row r="4" spans="1:6" x14ac:dyDescent="0.25">
      <c r="A4" s="1">
        <v>1</v>
      </c>
      <c r="B4" s="1">
        <v>3</v>
      </c>
      <c r="C4" s="1">
        <v>5</v>
      </c>
      <c r="D4" s="4">
        <v>4</v>
      </c>
      <c r="E4" s="4">
        <f>D3-D5-D6-D7-D8</f>
        <v>0</v>
      </c>
      <c r="F4" s="11"/>
    </row>
    <row r="5" spans="1:6" x14ac:dyDescent="0.25">
      <c r="A5" s="1">
        <v>2</v>
      </c>
      <c r="B5" s="1">
        <v>4</v>
      </c>
      <c r="C5" s="1">
        <v>2</v>
      </c>
      <c r="D5" s="4">
        <v>0</v>
      </c>
      <c r="E5" s="4">
        <f>D4+D8-D9-D10</f>
        <v>0</v>
      </c>
      <c r="F5" s="11"/>
    </row>
    <row r="6" spans="1:6" x14ac:dyDescent="0.25">
      <c r="A6" s="1">
        <v>2</v>
      </c>
      <c r="B6" s="1">
        <v>5</v>
      </c>
      <c r="C6" s="1">
        <v>7</v>
      </c>
      <c r="D6" s="4">
        <v>0</v>
      </c>
      <c r="E6" s="4">
        <f>D5-D11</f>
        <v>0</v>
      </c>
      <c r="F6" s="11"/>
    </row>
    <row r="7" spans="1:6" x14ac:dyDescent="0.25">
      <c r="A7" s="1">
        <v>2</v>
      </c>
      <c r="B7" s="1">
        <v>6</v>
      </c>
      <c r="C7" s="1">
        <v>8</v>
      </c>
      <c r="D7" s="4">
        <v>3</v>
      </c>
      <c r="E7" s="4">
        <f>D6-D12</f>
        <v>0</v>
      </c>
      <c r="F7" s="11"/>
    </row>
    <row r="8" spans="1:6" x14ac:dyDescent="0.25">
      <c r="A8" s="1">
        <v>2</v>
      </c>
      <c r="B8" s="1">
        <v>3</v>
      </c>
      <c r="C8" s="1">
        <v>0</v>
      </c>
      <c r="D8" s="4">
        <v>0</v>
      </c>
      <c r="E8" s="4">
        <f>D6+D7+D9-D14-D13</f>
        <v>0</v>
      </c>
      <c r="F8" s="11"/>
    </row>
    <row r="9" spans="1:6" x14ac:dyDescent="0.25">
      <c r="A9" s="1">
        <v>3</v>
      </c>
      <c r="B9" s="1">
        <v>6</v>
      </c>
      <c r="C9" s="1">
        <v>0</v>
      </c>
      <c r="D9" s="4">
        <v>0</v>
      </c>
      <c r="E9" s="4">
        <f>D13-D15-D16</f>
        <v>0</v>
      </c>
      <c r="F9" s="11"/>
    </row>
    <row r="10" spans="1:6" x14ac:dyDescent="0.25">
      <c r="A10" s="1">
        <v>3</v>
      </c>
      <c r="B10" s="1">
        <v>11</v>
      </c>
      <c r="C10" s="1">
        <v>6</v>
      </c>
      <c r="D10" s="4">
        <v>4</v>
      </c>
      <c r="E10" s="4">
        <f>D17</f>
        <v>0</v>
      </c>
      <c r="F10" s="11"/>
    </row>
    <row r="11" spans="1:6" x14ac:dyDescent="0.25">
      <c r="A11" s="1">
        <v>4</v>
      </c>
      <c r="B11" s="1">
        <v>9</v>
      </c>
      <c r="C11" s="1">
        <v>0</v>
      </c>
      <c r="D11" s="4">
        <v>0</v>
      </c>
      <c r="E11" s="4">
        <f>D11+D14+D15+D17-D19-D18</f>
        <v>0</v>
      </c>
      <c r="F11" s="11"/>
    </row>
    <row r="12" spans="1:6" x14ac:dyDescent="0.25">
      <c r="A12" s="1">
        <v>5</v>
      </c>
      <c r="B12" s="1">
        <v>6</v>
      </c>
      <c r="C12" s="1">
        <v>0</v>
      </c>
      <c r="D12" s="4">
        <v>0</v>
      </c>
      <c r="E12" s="4">
        <f>D18-D20</f>
        <v>0</v>
      </c>
      <c r="F12" s="11"/>
    </row>
    <row r="13" spans="1:6" x14ac:dyDescent="0.25">
      <c r="A13" s="1">
        <v>6</v>
      </c>
      <c r="B13" s="1">
        <v>7</v>
      </c>
      <c r="C13" s="1">
        <v>1</v>
      </c>
      <c r="D13" s="4">
        <v>1</v>
      </c>
      <c r="E13" s="4">
        <f>D10-D21</f>
        <v>0</v>
      </c>
      <c r="F13" s="11"/>
    </row>
    <row r="14" spans="1:6" x14ac:dyDescent="0.25">
      <c r="A14" s="1">
        <v>6</v>
      </c>
      <c r="B14" s="1">
        <v>9</v>
      </c>
      <c r="C14" s="1">
        <v>10</v>
      </c>
      <c r="D14" s="4">
        <v>2</v>
      </c>
      <c r="E14" s="4">
        <f>D21-D22</f>
        <v>0</v>
      </c>
      <c r="F14" s="11"/>
    </row>
    <row r="15" spans="1:6" x14ac:dyDescent="0.25">
      <c r="A15" s="1">
        <v>7</v>
      </c>
      <c r="B15" s="1">
        <v>9</v>
      </c>
      <c r="C15" s="1">
        <v>0</v>
      </c>
      <c r="D15" s="4">
        <v>0</v>
      </c>
      <c r="E15" s="4"/>
      <c r="F15" s="11"/>
    </row>
    <row r="16" spans="1:6" x14ac:dyDescent="0.25">
      <c r="A16" s="1">
        <v>7</v>
      </c>
      <c r="B16" s="1">
        <v>13</v>
      </c>
      <c r="C16" s="1">
        <v>1</v>
      </c>
      <c r="D16" s="4">
        <v>1</v>
      </c>
      <c r="E16" s="4"/>
      <c r="F16" s="11"/>
    </row>
    <row r="17" spans="1:6" x14ac:dyDescent="0.25">
      <c r="A17" s="1">
        <v>8</v>
      </c>
      <c r="B17" s="1">
        <v>9</v>
      </c>
      <c r="C17" s="1">
        <v>3</v>
      </c>
      <c r="D17" s="4">
        <v>0</v>
      </c>
      <c r="E17" s="4"/>
      <c r="F17" s="11"/>
    </row>
    <row r="18" spans="1:6" x14ac:dyDescent="0.25">
      <c r="A18" s="1">
        <v>9</v>
      </c>
      <c r="B18" s="1">
        <v>10</v>
      </c>
      <c r="C18" s="1">
        <v>7</v>
      </c>
      <c r="D18" s="4">
        <v>0</v>
      </c>
      <c r="E18" s="4"/>
      <c r="F18" s="11"/>
    </row>
    <row r="19" spans="1:6" x14ac:dyDescent="0.25">
      <c r="A19" s="1">
        <v>9</v>
      </c>
      <c r="B19" s="1">
        <v>13</v>
      </c>
      <c r="C19" s="1">
        <v>2</v>
      </c>
      <c r="D19" s="4">
        <v>2</v>
      </c>
      <c r="E19" s="4"/>
      <c r="F19" s="11"/>
    </row>
    <row r="20" spans="1:6" x14ac:dyDescent="0.25">
      <c r="A20" s="1">
        <v>10</v>
      </c>
      <c r="B20" s="1">
        <v>11</v>
      </c>
      <c r="C20" s="1">
        <v>0</v>
      </c>
      <c r="D20" s="4">
        <v>0</v>
      </c>
      <c r="E20" s="4"/>
      <c r="F20" s="11"/>
    </row>
    <row r="21" spans="1:6" x14ac:dyDescent="0.25">
      <c r="A21" s="1">
        <v>11</v>
      </c>
      <c r="B21" s="1">
        <v>12</v>
      </c>
      <c r="C21" s="1">
        <v>4</v>
      </c>
      <c r="D21" s="4">
        <v>4</v>
      </c>
      <c r="E21" s="4"/>
      <c r="F21" s="11"/>
    </row>
    <row r="22" spans="1:6" x14ac:dyDescent="0.25">
      <c r="A22" s="1">
        <v>12</v>
      </c>
      <c r="B22" s="1">
        <v>13</v>
      </c>
      <c r="C22" s="1">
        <v>8</v>
      </c>
      <c r="D22" s="4">
        <v>4</v>
      </c>
      <c r="E22" s="4"/>
      <c r="F22" s="11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Сетевой график</vt:lpstr>
      <vt:lpstr>Поиск решения КР</vt:lpstr>
      <vt:lpstr>Поиск решения МП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2026-02-21T09:14:49Z</dcterms:modified>
</cp:coreProperties>
</file>