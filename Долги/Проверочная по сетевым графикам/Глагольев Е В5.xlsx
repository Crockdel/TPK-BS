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40 мм\"/>
    </mc:Choice>
  </mc:AlternateContent>
  <xr:revisionPtr revIDLastSave="0" documentId="13_ncr:1_{E608FBCE-D952-4374-BB71-E6EA3B38C9DE}" xr6:coauthVersionLast="47" xr6:coauthVersionMax="47" xr10:uidLastSave="{00000000-0000-0000-0000-000000000000}"/>
  <bookViews>
    <workbookView xWindow="-120" yWindow="330" windowWidth="29040" windowHeight="15390" activeTab="2" xr2:uid="{4FF7C1F4-FFCB-4B13-9EE9-89E3CEBDEF80}"/>
  </bookViews>
  <sheets>
    <sheet name="Лист1" sheetId="1" r:id="rId1"/>
    <sheet name="Лист2" sheetId="2" r:id="rId2"/>
    <sheet name="Лист4" sheetId="4" r:id="rId3"/>
  </sheets>
  <definedNames>
    <definedName name="solver_adj" localSheetId="2" hidden="1">Лист4!$D$2:$D$37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Лист4!$D$2:$D$37</definedName>
    <definedName name="solver_lhs2" localSheetId="2" hidden="1">Лист4!$E$2</definedName>
    <definedName name="solver_lhs3" localSheetId="2" hidden="1">Лист4!$E$25</definedName>
    <definedName name="solver_lhs4" localSheetId="2" hidden="1">Лист4!$E$3:$E$24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4</definedName>
    <definedName name="solver_nwt" localSheetId="2" hidden="1">1</definedName>
    <definedName name="solver_opt" localSheetId="2" hidden="1">Лист4!$G$2</definedName>
    <definedName name="solver_pre" localSheetId="2" hidden="1">0.000001</definedName>
    <definedName name="solver_rbv" localSheetId="2" hidden="1">1</definedName>
    <definedName name="solver_rel1" localSheetId="2" hidden="1">5</definedName>
    <definedName name="solver_rel2" localSheetId="2" hidden="1">2</definedName>
    <definedName name="solver_rel3" localSheetId="2" hidden="1">2</definedName>
    <definedName name="solver_rel4" localSheetId="2" hidden="1">2</definedName>
    <definedName name="solver_rhs1" localSheetId="2" hidden="1">"бинарное"</definedName>
    <definedName name="solver_rhs2" localSheetId="2" hidden="1">1</definedName>
    <definedName name="solver_rhs3" localSheetId="2" hidden="1">-1</definedName>
    <definedName name="solver_rhs4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" l="1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G19" i="2" l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<sst xmlns="http://schemas.openxmlformats.org/spreadsheetml/2006/main" count="61" uniqueCount="52">
  <si>
    <t>Предшествующая работа</t>
  </si>
  <si>
    <t>Рассмариваемая работа</t>
  </si>
  <si>
    <t>Рассматриваемая работа</t>
  </si>
  <si>
    <t>-</t>
  </si>
  <si>
    <t>А, Б, В</t>
  </si>
  <si>
    <t>А, Б</t>
  </si>
  <si>
    <t>Б, В</t>
  </si>
  <si>
    <t>А 2</t>
  </si>
  <si>
    <t>Б 1</t>
  </si>
  <si>
    <t>В 3</t>
  </si>
  <si>
    <t>Г 4</t>
  </si>
  <si>
    <t>Д 2</t>
  </si>
  <si>
    <t>Е 1</t>
  </si>
  <si>
    <t>Н 6</t>
  </si>
  <si>
    <t>Д, Е</t>
  </si>
  <si>
    <t>А, Б, В, З</t>
  </si>
  <si>
    <t>Ж, И</t>
  </si>
  <si>
    <t>Г, К</t>
  </si>
  <si>
    <t>Л</t>
  </si>
  <si>
    <t>Д, Е, Н</t>
  </si>
  <si>
    <t xml:space="preserve">Ж 5 </t>
  </si>
  <si>
    <t>З 4</t>
  </si>
  <si>
    <t>И 3</t>
  </si>
  <si>
    <t>К 2</t>
  </si>
  <si>
    <t>Л 6</t>
  </si>
  <si>
    <t>М 3</t>
  </si>
  <si>
    <t>О 1</t>
  </si>
  <si>
    <t>Нахождение кратчайшего пути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</si>
  <si>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</si>
  <si>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</si>
  <si>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</si>
  <si>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</si>
  <si>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1-2-7-18-19-20-21-24</t>
  </si>
  <si>
    <t>1-2-8-10-22-23-24</t>
  </si>
  <si>
    <t>1-2-13-14-16-17-19-20-21-24</t>
  </si>
  <si>
    <t>1-3-7-18-19-20-21-24</t>
  </si>
  <si>
    <t>1-3-8-10-22-23-24</t>
  </si>
  <si>
    <t>1-3-9-11-12-15-16-17-19-20-21-24</t>
  </si>
  <si>
    <t>1-3-9-11-22-23-24</t>
  </si>
  <si>
    <t>1-3-13-14-16-17-19-20-21-24</t>
  </si>
  <si>
    <t>1-4-7-18-19-20-21-24</t>
  </si>
  <si>
    <t>1-4-9-11-12-15-16-17-19-20-21-24</t>
  </si>
  <si>
    <t>1-4-9-11-22-23-24</t>
  </si>
  <si>
    <t>1-4-13-14-16-17-19-20-21-24</t>
  </si>
  <si>
    <t>1-5-13-14-16-17-19-20-21-24</t>
  </si>
  <si>
    <t>1-6-22-23-24</t>
  </si>
  <si>
    <t>Кратчайшее расстояние</t>
  </si>
  <si>
    <t>1-2-8-10-12-15-16-17-19-20-21-24</t>
  </si>
  <si>
    <t>1-3-8-10-12-15-16-17-19-20-21-24</t>
  </si>
  <si>
    <t>min</t>
  </si>
  <si>
    <t>Переменные</t>
  </si>
  <si>
    <t>Ограничения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</si>
</sst>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rgb="FF0F1115"/>
      <name val="Consolas"/>
      <family val="3"/>
      <charset val="204"/>
    </font>
    <font>
      <sz val="10"/>
      <color rgb="FF0F1115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Border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352426</xdr:colOff>
      <xdr:row>9</xdr:row>
      <xdr:rowOff>161926</xdr:rowOff>
    </xdr:from>
    <xdr:to>
      <xdr:col>8</xdr:col>
      <xdr:colOff>238126</xdr:colOff>
      <xdr:row>12</xdr:row>
      <xdr:rowOff>85726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A23E1389-F114-0275-8BA2-0C116DCF9948}"/>
            </a:ext>
          </a:extLst>
        </xdr:cNvPr>
        <xdr:cNvSpPr/>
      </xdr:nvSpPr>
      <xdr:spPr>
        <a:xfrm>
          <a:off x="6753226" y="2076451"/>
          <a:ext cx="495300" cy="5334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</a:t>
          </a:r>
        </a:p>
      </xdr:txBody>
    </xdr:sp>
    <xdr:clientData/>
  </xdr:twoCellAnchor>
  <xdr:twoCellAnchor>
    <xdr:from>
      <xdr:col>8</xdr:col>
      <xdr:colOff>165591</xdr:colOff>
      <xdr:row>6</xdr:row>
      <xdr:rowOff>60081</xdr:rowOff>
    </xdr:from>
    <xdr:to>
      <xdr:col>10</xdr:col>
      <xdr:colOff>142875</xdr:colOff>
      <xdr:row>10</xdr:row>
      <xdr:rowOff>49541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32DFEDA6-ABBB-821D-7704-69347173DB2C}"/>
            </a:ext>
          </a:extLst>
        </xdr:cNvPr>
        <xdr:cNvCxnSpPr>
          <a:stCxn id="2" idx="7"/>
          <a:endCxn id="25" idx="2"/>
        </xdr:cNvCxnSpPr>
      </xdr:nvCxnSpPr>
      <xdr:spPr>
        <a:xfrm flipV="1">
          <a:off x="7175991" y="1403106"/>
          <a:ext cx="1196484" cy="75146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238126</xdr:colOff>
      <xdr:row>10</xdr:row>
      <xdr:rowOff>85725</xdr:rowOff>
    </xdr:from>
    <xdr:to>
      <xdr:col>10</xdr:col>
      <xdr:colOff>180975</xdr:colOff>
      <xdr:row>11</xdr:row>
      <xdr:rowOff>28576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F39DEEC4-5021-4808-BC2B-404DD0156B17}"/>
            </a:ext>
          </a:extLst>
        </xdr:cNvPr>
        <xdr:cNvCxnSpPr>
          <a:stCxn id="2" idx="6"/>
        </xdr:cNvCxnSpPr>
      </xdr:nvCxnSpPr>
      <xdr:spPr>
        <a:xfrm flipV="1">
          <a:off x="7248526" y="2190750"/>
          <a:ext cx="1162049" cy="13335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8</xdr:col>
      <xdr:colOff>427160</xdr:colOff>
      <xdr:row>7</xdr:row>
      <xdr:rowOff>5129</xdr:rowOff>
    </xdr:from>
    <xdr:ext cx="471796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6376719-578A-E482-BCFA-DD2BDED22526}"/>
            </a:ext>
          </a:extLst>
        </xdr:cNvPr>
        <xdr:cNvSpPr txBox="1"/>
      </xdr:nvSpPr>
      <xdr:spPr>
        <a:xfrm>
          <a:off x="7437560" y="1538654"/>
          <a:ext cx="4717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 = 2</a:t>
          </a:r>
        </a:p>
      </xdr:txBody>
    </xdr:sp>
    <xdr:clientData/>
  </xdr:oneCellAnchor>
  <xdr:oneCellAnchor>
    <xdr:from>
      <xdr:col>8</xdr:col>
      <xdr:colOff>542925</xdr:colOff>
      <xdr:row>9</xdr:row>
      <xdr:rowOff>133350</xdr:rowOff>
    </xdr:from>
    <xdr:ext cx="466025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CFF86D4-4EE8-4796-9414-C71CA79034A8}"/>
            </a:ext>
          </a:extLst>
        </xdr:cNvPr>
        <xdr:cNvSpPr txBox="1"/>
      </xdr:nvSpPr>
      <xdr:spPr>
        <a:xfrm>
          <a:off x="7553325" y="2047875"/>
          <a:ext cx="4660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Б = 1</a:t>
          </a:r>
        </a:p>
      </xdr:txBody>
    </xdr:sp>
    <xdr:clientData/>
  </xdr:oneCellAnchor>
  <xdr:twoCellAnchor>
    <xdr:from>
      <xdr:col>8</xdr:col>
      <xdr:colOff>213216</xdr:colOff>
      <xdr:row>11</xdr:row>
      <xdr:rowOff>175116</xdr:rowOff>
    </xdr:from>
    <xdr:to>
      <xdr:col>10</xdr:col>
      <xdr:colOff>152400</xdr:colOff>
      <xdr:row>12</xdr:row>
      <xdr:rowOff>133350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026B5853-8C0A-4F68-BF4B-DFA347B66FE1}"/>
            </a:ext>
          </a:extLst>
        </xdr:cNvPr>
        <xdr:cNvCxnSpPr/>
      </xdr:nvCxnSpPr>
      <xdr:spPr>
        <a:xfrm>
          <a:off x="7223616" y="2470641"/>
          <a:ext cx="1158384" cy="1487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276225</xdr:colOff>
      <xdr:row>11</xdr:row>
      <xdr:rowOff>47625</xdr:rowOff>
    </xdr:from>
    <xdr:ext cx="466923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5E1C38D-C082-44F4-A1C2-161BC7D19905}"/>
            </a:ext>
          </a:extLst>
        </xdr:cNvPr>
        <xdr:cNvSpPr txBox="1"/>
      </xdr:nvSpPr>
      <xdr:spPr>
        <a:xfrm>
          <a:off x="7896225" y="2343150"/>
          <a:ext cx="4669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В = 3</a:t>
          </a:r>
        </a:p>
      </xdr:txBody>
    </xdr:sp>
    <xdr:clientData/>
  </xdr:oneCellAnchor>
  <xdr:twoCellAnchor>
    <xdr:from>
      <xdr:col>7</xdr:col>
      <xdr:colOff>600076</xdr:colOff>
      <xdr:row>12</xdr:row>
      <xdr:rowOff>85726</xdr:rowOff>
    </xdr:from>
    <xdr:to>
      <xdr:col>10</xdr:col>
      <xdr:colOff>11721</xdr:colOff>
      <xdr:row>15</xdr:row>
      <xdr:rowOff>137012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A293966D-582F-4DCA-BCB8-019361D2B105}"/>
            </a:ext>
          </a:extLst>
        </xdr:cNvPr>
        <xdr:cNvCxnSpPr>
          <a:stCxn id="2" idx="4"/>
          <a:endCxn id="28" idx="1"/>
        </xdr:cNvCxnSpPr>
      </xdr:nvCxnSpPr>
      <xdr:spPr>
        <a:xfrm>
          <a:off x="7000876" y="2609851"/>
          <a:ext cx="1240445" cy="6227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87923</xdr:colOff>
      <xdr:row>13</xdr:row>
      <xdr:rowOff>70339</xdr:rowOff>
    </xdr:from>
    <xdr:ext cx="456985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170B9B9-565A-4CDE-A235-72EDF952F4AE}"/>
            </a:ext>
          </a:extLst>
        </xdr:cNvPr>
        <xdr:cNvSpPr txBox="1"/>
      </xdr:nvSpPr>
      <xdr:spPr>
        <a:xfrm>
          <a:off x="7707923" y="2746864"/>
          <a:ext cx="4569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 = 4</a:t>
          </a:r>
        </a:p>
      </xdr:txBody>
    </xdr:sp>
    <xdr:clientData/>
  </xdr:oneCellAnchor>
  <xdr:twoCellAnchor>
    <xdr:from>
      <xdr:col>7</xdr:col>
      <xdr:colOff>600076</xdr:colOff>
      <xdr:row>12</xdr:row>
      <xdr:rowOff>85726</xdr:rowOff>
    </xdr:from>
    <xdr:to>
      <xdr:col>10</xdr:col>
      <xdr:colOff>69819</xdr:colOff>
      <xdr:row>21</xdr:row>
      <xdr:rowOff>109902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B2719DC7-1121-46D1-A281-925C44ABBCA1}"/>
            </a:ext>
          </a:extLst>
        </xdr:cNvPr>
        <xdr:cNvCxnSpPr>
          <a:cxnSpLocks/>
          <a:stCxn id="2" idx="4"/>
          <a:endCxn id="29" idx="1"/>
        </xdr:cNvCxnSpPr>
      </xdr:nvCxnSpPr>
      <xdr:spPr>
        <a:xfrm>
          <a:off x="7000876" y="2609851"/>
          <a:ext cx="1298543" cy="17386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328978</xdr:colOff>
      <xdr:row>18</xdr:row>
      <xdr:rowOff>87190</xdr:rowOff>
    </xdr:from>
    <xdr:ext cx="47808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195E1E0-F640-4211-A804-73B12F211855}"/>
            </a:ext>
          </a:extLst>
        </xdr:cNvPr>
        <xdr:cNvSpPr txBox="1"/>
      </xdr:nvSpPr>
      <xdr:spPr>
        <a:xfrm>
          <a:off x="7948978" y="3716215"/>
          <a:ext cx="47808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 = 6</a:t>
          </a:r>
        </a:p>
      </xdr:txBody>
    </xdr:sp>
    <xdr:clientData/>
  </xdr:oneCellAnchor>
  <xdr:twoCellAnchor>
    <xdr:from>
      <xdr:col>10</xdr:col>
      <xdr:colOff>142875</xdr:colOff>
      <xdr:row>5</xdr:row>
      <xdr:rowOff>2931</xdr:rowOff>
    </xdr:from>
    <xdr:to>
      <xdr:col>11</xdr:col>
      <xdr:colOff>28576</xdr:colOff>
      <xdr:row>7</xdr:row>
      <xdr:rowOff>117231</xdr:rowOff>
    </xdr:to>
    <xdr:sp macro="" textlink="">
      <xdr:nvSpPr>
        <xdr:cNvPr id="25" name="Овал 24">
          <a:extLst>
            <a:ext uri="{FF2B5EF4-FFF2-40B4-BE49-F238E27FC236}">
              <a16:creationId xmlns:a16="http://schemas.microsoft.com/office/drawing/2014/main" id="{B71F04F9-286E-4CC7-9EE0-6767860BBE52}"/>
            </a:ext>
          </a:extLst>
        </xdr:cNvPr>
        <xdr:cNvSpPr/>
      </xdr:nvSpPr>
      <xdr:spPr>
        <a:xfrm>
          <a:off x="8363683" y="1153258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</a:t>
          </a:r>
        </a:p>
      </xdr:txBody>
    </xdr:sp>
    <xdr:clientData/>
  </xdr:twoCellAnchor>
  <xdr:twoCellAnchor>
    <xdr:from>
      <xdr:col>10</xdr:col>
      <xdr:colOff>180975</xdr:colOff>
      <xdr:row>8</xdr:row>
      <xdr:rowOff>142875</xdr:rowOff>
    </xdr:from>
    <xdr:to>
      <xdr:col>11</xdr:col>
      <xdr:colOff>66675</xdr:colOff>
      <xdr:row>11</xdr:row>
      <xdr:rowOff>66675</xdr:rowOff>
    </xdr:to>
    <xdr:sp macro="" textlink="">
      <xdr:nvSpPr>
        <xdr:cNvPr id="26" name="Овал 25">
          <a:extLst>
            <a:ext uri="{FF2B5EF4-FFF2-40B4-BE49-F238E27FC236}">
              <a16:creationId xmlns:a16="http://schemas.microsoft.com/office/drawing/2014/main" id="{320C3A4B-BDDB-4B9F-9714-7FC42BFA97A7}"/>
            </a:ext>
          </a:extLst>
        </xdr:cNvPr>
        <xdr:cNvSpPr/>
      </xdr:nvSpPr>
      <xdr:spPr>
        <a:xfrm>
          <a:off x="8410575" y="1866900"/>
          <a:ext cx="495300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3</a:t>
          </a:r>
        </a:p>
      </xdr:txBody>
    </xdr:sp>
    <xdr:clientData/>
  </xdr:twoCellAnchor>
  <xdr:twoCellAnchor>
    <xdr:from>
      <xdr:col>10</xdr:col>
      <xdr:colOff>108438</xdr:colOff>
      <xdr:row>12</xdr:row>
      <xdr:rowOff>35169</xdr:rowOff>
    </xdr:from>
    <xdr:to>
      <xdr:col>10</xdr:col>
      <xdr:colOff>602272</xdr:colOff>
      <xdr:row>14</xdr:row>
      <xdr:rowOff>149469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1F6E4A09-D273-47D1-8B39-F7E49BD61312}"/>
            </a:ext>
          </a:extLst>
        </xdr:cNvPr>
        <xdr:cNvSpPr/>
      </xdr:nvSpPr>
      <xdr:spPr>
        <a:xfrm>
          <a:off x="8329246" y="2518996"/>
          <a:ext cx="493834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4</a:t>
          </a:r>
        </a:p>
      </xdr:txBody>
    </xdr:sp>
    <xdr:clientData/>
  </xdr:twoCellAnchor>
  <xdr:twoCellAnchor>
    <xdr:from>
      <xdr:col>9</xdr:col>
      <xdr:colOff>548786</xdr:colOff>
      <xdr:row>15</xdr:row>
      <xdr:rowOff>64477</xdr:rowOff>
    </xdr:from>
    <xdr:to>
      <xdr:col>10</xdr:col>
      <xdr:colOff>434486</xdr:colOff>
      <xdr:row>17</xdr:row>
      <xdr:rowOff>178777</xdr:rowOff>
    </xdr:to>
    <xdr:sp macro="" textlink="">
      <xdr:nvSpPr>
        <xdr:cNvPr id="28" name="Овал 27">
          <a:extLst>
            <a:ext uri="{FF2B5EF4-FFF2-40B4-BE49-F238E27FC236}">
              <a16:creationId xmlns:a16="http://schemas.microsoft.com/office/drawing/2014/main" id="{4B9384FF-C176-46A3-BE4F-F37A81B31084}"/>
            </a:ext>
          </a:extLst>
        </xdr:cNvPr>
        <xdr:cNvSpPr/>
      </xdr:nvSpPr>
      <xdr:spPr>
        <a:xfrm>
          <a:off x="8161459" y="3119804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5</a:t>
          </a:r>
        </a:p>
      </xdr:txBody>
    </xdr:sp>
    <xdr:clientData/>
  </xdr:twoCellAnchor>
  <xdr:twoCellAnchor>
    <xdr:from>
      <xdr:col>9</xdr:col>
      <xdr:colOff>606669</xdr:colOff>
      <xdr:row>21</xdr:row>
      <xdr:rowOff>37367</xdr:rowOff>
    </xdr:from>
    <xdr:to>
      <xdr:col>10</xdr:col>
      <xdr:colOff>493834</xdr:colOff>
      <xdr:row>23</xdr:row>
      <xdr:rowOff>151667</xdr:rowOff>
    </xdr:to>
    <xdr:sp macro="" textlink="">
      <xdr:nvSpPr>
        <xdr:cNvPr id="29" name="Овал 28">
          <a:extLst>
            <a:ext uri="{FF2B5EF4-FFF2-40B4-BE49-F238E27FC236}">
              <a16:creationId xmlns:a16="http://schemas.microsoft.com/office/drawing/2014/main" id="{0D3EF6A6-11F6-422B-A13B-E11284D20668}"/>
            </a:ext>
          </a:extLst>
        </xdr:cNvPr>
        <xdr:cNvSpPr/>
      </xdr:nvSpPr>
      <xdr:spPr>
        <a:xfrm>
          <a:off x="8219342" y="4235694"/>
          <a:ext cx="495300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6</a:t>
          </a:r>
        </a:p>
      </xdr:txBody>
    </xdr:sp>
    <xdr:clientData/>
  </xdr:twoCellAnchor>
  <xdr:twoCellAnchor>
    <xdr:from>
      <xdr:col>12</xdr:col>
      <xdr:colOff>117231</xdr:colOff>
      <xdr:row>0</xdr:row>
      <xdr:rowOff>366347</xdr:rowOff>
    </xdr:from>
    <xdr:to>
      <xdr:col>13</xdr:col>
      <xdr:colOff>2931</xdr:colOff>
      <xdr:row>3</xdr:row>
      <xdr:rowOff>92320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4A639233-2EA7-4480-B8E0-D78B3D1251B1}"/>
            </a:ext>
          </a:extLst>
        </xdr:cNvPr>
        <xdr:cNvSpPr/>
      </xdr:nvSpPr>
      <xdr:spPr>
        <a:xfrm>
          <a:off x="9554308" y="366347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7</a:t>
          </a:r>
        </a:p>
      </xdr:txBody>
    </xdr:sp>
    <xdr:clientData/>
  </xdr:twoCellAnchor>
  <xdr:twoCellAnchor>
    <xdr:from>
      <xdr:col>11</xdr:col>
      <xdr:colOff>28576</xdr:colOff>
      <xdr:row>1</xdr:row>
      <xdr:rowOff>50555</xdr:rowOff>
    </xdr:from>
    <xdr:to>
      <xdr:col>12</xdr:col>
      <xdr:colOff>189551</xdr:colOff>
      <xdr:row>6</xdr:row>
      <xdr:rowOff>60081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128F1F8A-2BA9-4F3A-B9B2-D9404ED936AD}"/>
            </a:ext>
          </a:extLst>
        </xdr:cNvPr>
        <xdr:cNvCxnSpPr>
          <a:stCxn id="25" idx="6"/>
          <a:endCxn id="3" idx="1"/>
        </xdr:cNvCxnSpPr>
      </xdr:nvCxnSpPr>
      <xdr:spPr>
        <a:xfrm flipV="1">
          <a:off x="8857518" y="438882"/>
          <a:ext cx="769110" cy="96202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2</xdr:row>
      <xdr:rowOff>35170</xdr:rowOff>
    </xdr:from>
    <xdr:to>
      <xdr:col>12</xdr:col>
      <xdr:colOff>117231</xdr:colOff>
      <xdr:row>10</xdr:row>
      <xdr:rowOff>9525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F76F2927-C739-44BD-BFBF-B44CB8E6FA2E}"/>
            </a:ext>
          </a:extLst>
        </xdr:cNvPr>
        <xdr:cNvCxnSpPr>
          <a:stCxn id="26" idx="6"/>
          <a:endCxn id="3" idx="2"/>
        </xdr:cNvCxnSpPr>
      </xdr:nvCxnSpPr>
      <xdr:spPr>
        <a:xfrm flipV="1">
          <a:off x="8895617" y="613997"/>
          <a:ext cx="658691" cy="149835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529952</xdr:colOff>
      <xdr:row>3</xdr:row>
      <xdr:rowOff>19785</xdr:rowOff>
    </xdr:from>
    <xdr:to>
      <xdr:col>12</xdr:col>
      <xdr:colOff>189551</xdr:colOff>
      <xdr:row>12</xdr:row>
      <xdr:rowOff>107704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E0876983-0487-43CD-A87F-1690A6395892}"/>
            </a:ext>
          </a:extLst>
        </xdr:cNvPr>
        <xdr:cNvCxnSpPr>
          <a:stCxn id="27" idx="7"/>
          <a:endCxn id="3" idx="3"/>
        </xdr:cNvCxnSpPr>
      </xdr:nvCxnSpPr>
      <xdr:spPr>
        <a:xfrm flipV="1">
          <a:off x="8750760" y="789112"/>
          <a:ext cx="875868" cy="180241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2931</xdr:colOff>
      <xdr:row>2</xdr:row>
      <xdr:rowOff>35170</xdr:rowOff>
    </xdr:from>
    <xdr:to>
      <xdr:col>15</xdr:col>
      <xdr:colOff>73270</xdr:colOff>
      <xdr:row>2</xdr:row>
      <xdr:rowOff>79131</xdr:rowOff>
    </xdr:to>
    <xdr:cxnSp macro="">
      <xdr:nvCxnSpPr>
        <xdr:cNvPr id="22" name="Прямая со стрелкой 21">
          <a:extLst>
            <a:ext uri="{FF2B5EF4-FFF2-40B4-BE49-F238E27FC236}">
              <a16:creationId xmlns:a16="http://schemas.microsoft.com/office/drawing/2014/main" id="{F0217AA5-8452-4DFF-B6E6-DECDB10F5715}"/>
            </a:ext>
          </a:extLst>
        </xdr:cNvPr>
        <xdr:cNvCxnSpPr>
          <a:stCxn id="3" idx="6"/>
          <a:endCxn id="158" idx="2"/>
        </xdr:cNvCxnSpPr>
      </xdr:nvCxnSpPr>
      <xdr:spPr>
        <a:xfrm>
          <a:off x="10048143" y="613997"/>
          <a:ext cx="1286608" cy="4396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424962</xdr:colOff>
      <xdr:row>1</xdr:row>
      <xdr:rowOff>1</xdr:rowOff>
    </xdr:from>
    <xdr:ext cx="450764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A87855F3-A39C-4179-BD0E-86A7FF8A798A}"/>
            </a:ext>
          </a:extLst>
        </xdr:cNvPr>
        <xdr:cNvSpPr txBox="1"/>
      </xdr:nvSpPr>
      <xdr:spPr>
        <a:xfrm>
          <a:off x="10483362" y="390526"/>
          <a:ext cx="4507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Г = 4</a:t>
          </a:r>
        </a:p>
      </xdr:txBody>
    </xdr:sp>
    <xdr:clientData/>
  </xdr:oneCellAnchor>
  <xdr:twoCellAnchor>
    <xdr:from>
      <xdr:col>12</xdr:col>
      <xdr:colOff>271097</xdr:colOff>
      <xdr:row>8</xdr:row>
      <xdr:rowOff>168519</xdr:rowOff>
    </xdr:from>
    <xdr:to>
      <xdr:col>13</xdr:col>
      <xdr:colOff>156797</xdr:colOff>
      <xdr:row>11</xdr:row>
      <xdr:rowOff>92319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DD7C7D9B-3018-4AB1-B8B6-D019962F0BB0}"/>
            </a:ext>
          </a:extLst>
        </xdr:cNvPr>
        <xdr:cNvSpPr/>
      </xdr:nvSpPr>
      <xdr:spPr>
        <a:xfrm>
          <a:off x="9708174" y="1890346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8</a:t>
          </a:r>
        </a:p>
      </xdr:txBody>
    </xdr:sp>
    <xdr:clientData/>
  </xdr:twoCellAnchor>
  <xdr:twoCellAnchor>
    <xdr:from>
      <xdr:col>10</xdr:col>
      <xdr:colOff>564390</xdr:colOff>
      <xdr:row>5</xdr:row>
      <xdr:rowOff>75466</xdr:rowOff>
    </xdr:from>
    <xdr:to>
      <xdr:col>12</xdr:col>
      <xdr:colOff>343417</xdr:colOff>
      <xdr:row>9</xdr:row>
      <xdr:rowOff>50554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9D772FC6-3A5E-41B7-A041-51FB60FB7788}"/>
            </a:ext>
          </a:extLst>
        </xdr:cNvPr>
        <xdr:cNvCxnSpPr>
          <a:stCxn id="25" idx="7"/>
          <a:endCxn id="32" idx="1"/>
        </xdr:cNvCxnSpPr>
      </xdr:nvCxnSpPr>
      <xdr:spPr>
        <a:xfrm>
          <a:off x="8785198" y="1225793"/>
          <a:ext cx="995296" cy="73708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602489</xdr:colOff>
      <xdr:row>9</xdr:row>
      <xdr:rowOff>24910</xdr:rowOff>
    </xdr:from>
    <xdr:to>
      <xdr:col>12</xdr:col>
      <xdr:colOff>271097</xdr:colOff>
      <xdr:row>10</xdr:row>
      <xdr:rowOff>35169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52C0164D-78FA-4DEA-BA48-6C439685FFE4}"/>
            </a:ext>
          </a:extLst>
        </xdr:cNvPr>
        <xdr:cNvCxnSpPr>
          <a:stCxn id="26" idx="7"/>
          <a:endCxn id="32" idx="2"/>
        </xdr:cNvCxnSpPr>
      </xdr:nvCxnSpPr>
      <xdr:spPr>
        <a:xfrm>
          <a:off x="8823297" y="1937237"/>
          <a:ext cx="884877" cy="20075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156797</xdr:colOff>
      <xdr:row>10</xdr:row>
      <xdr:rowOff>35169</xdr:rowOff>
    </xdr:from>
    <xdr:to>
      <xdr:col>15</xdr:col>
      <xdr:colOff>131884</xdr:colOff>
      <xdr:row>10</xdr:row>
      <xdr:rowOff>35170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F3C1E687-75BB-44CE-832B-78B7D681A1F4}"/>
            </a:ext>
          </a:extLst>
        </xdr:cNvPr>
        <xdr:cNvCxnSpPr>
          <a:stCxn id="32" idx="6"/>
          <a:endCxn id="83" idx="2"/>
        </xdr:cNvCxnSpPr>
      </xdr:nvCxnSpPr>
      <xdr:spPr>
        <a:xfrm>
          <a:off x="10202009" y="2137996"/>
          <a:ext cx="1191356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417635</xdr:colOff>
      <xdr:row>8</xdr:row>
      <xdr:rowOff>139212</xdr:rowOff>
    </xdr:from>
    <xdr:ext cx="481029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5DA8E7B5-B69D-43A8-972D-3DAECA03EFD6}"/>
            </a:ext>
          </a:extLst>
        </xdr:cNvPr>
        <xdr:cNvSpPr txBox="1"/>
      </xdr:nvSpPr>
      <xdr:spPr>
        <a:xfrm>
          <a:off x="10476035" y="1863237"/>
          <a:ext cx="48102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Д = 2</a:t>
          </a:r>
        </a:p>
      </xdr:txBody>
    </xdr:sp>
    <xdr:clientData/>
  </xdr:oneCellAnchor>
  <xdr:twoCellAnchor>
    <xdr:from>
      <xdr:col>12</xdr:col>
      <xdr:colOff>263769</xdr:colOff>
      <xdr:row>13</xdr:row>
      <xdr:rowOff>21981</xdr:rowOff>
    </xdr:from>
    <xdr:to>
      <xdr:col>13</xdr:col>
      <xdr:colOff>149469</xdr:colOff>
      <xdr:row>15</xdr:row>
      <xdr:rowOff>136281</xdr:rowOff>
    </xdr:to>
    <xdr:sp macro="" textlink="">
      <xdr:nvSpPr>
        <xdr:cNvPr id="46" name="Овал 45">
          <a:extLst>
            <a:ext uri="{FF2B5EF4-FFF2-40B4-BE49-F238E27FC236}">
              <a16:creationId xmlns:a16="http://schemas.microsoft.com/office/drawing/2014/main" id="{9A507122-ECF7-428F-8652-A57E8BB72286}"/>
            </a:ext>
          </a:extLst>
        </xdr:cNvPr>
        <xdr:cNvSpPr/>
      </xdr:nvSpPr>
      <xdr:spPr>
        <a:xfrm>
          <a:off x="9700846" y="2696308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9</a:t>
          </a:r>
        </a:p>
      </xdr:txBody>
    </xdr:sp>
    <xdr:clientData/>
  </xdr:twoCellAnchor>
  <xdr:twoCellAnchor>
    <xdr:from>
      <xdr:col>10</xdr:col>
      <xdr:colOff>602489</xdr:colOff>
      <xdr:row>10</xdr:row>
      <xdr:rowOff>184640</xdr:rowOff>
    </xdr:from>
    <xdr:to>
      <xdr:col>12</xdr:col>
      <xdr:colOff>336089</xdr:colOff>
      <xdr:row>13</xdr:row>
      <xdr:rowOff>94516</xdr:rowOff>
    </xdr:to>
    <xdr:cxnSp macro="">
      <xdr:nvCxnSpPr>
        <xdr:cNvPr id="49" name="Прямая со стрелкой 48">
          <a:extLst>
            <a:ext uri="{FF2B5EF4-FFF2-40B4-BE49-F238E27FC236}">
              <a16:creationId xmlns:a16="http://schemas.microsoft.com/office/drawing/2014/main" id="{B105A9B2-7150-46DF-8C0C-2F649628FEFC}"/>
            </a:ext>
          </a:extLst>
        </xdr:cNvPr>
        <xdr:cNvCxnSpPr>
          <a:stCxn id="26" idx="5"/>
          <a:endCxn id="46" idx="1"/>
        </xdr:cNvCxnSpPr>
      </xdr:nvCxnSpPr>
      <xdr:spPr>
        <a:xfrm>
          <a:off x="8823297" y="2287467"/>
          <a:ext cx="949869" cy="481376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602272</xdr:colOff>
      <xdr:row>13</xdr:row>
      <xdr:rowOff>92319</xdr:rowOff>
    </xdr:from>
    <xdr:to>
      <xdr:col>12</xdr:col>
      <xdr:colOff>263769</xdr:colOff>
      <xdr:row>14</xdr:row>
      <xdr:rowOff>79131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7A769817-3836-4E9D-84CB-21F9366D3B7B}"/>
            </a:ext>
          </a:extLst>
        </xdr:cNvPr>
        <xdr:cNvCxnSpPr>
          <a:stCxn id="27" idx="6"/>
          <a:endCxn id="46" idx="2"/>
        </xdr:cNvCxnSpPr>
      </xdr:nvCxnSpPr>
      <xdr:spPr>
        <a:xfrm>
          <a:off x="8823080" y="2766646"/>
          <a:ext cx="877766" cy="17731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149469</xdr:colOff>
      <xdr:row>14</xdr:row>
      <xdr:rowOff>79131</xdr:rowOff>
    </xdr:from>
    <xdr:to>
      <xdr:col>15</xdr:col>
      <xdr:colOff>102577</xdr:colOff>
      <xdr:row>14</xdr:row>
      <xdr:rowOff>123092</xdr:rowOff>
    </xdr:to>
    <xdr:cxnSp macro="">
      <xdr:nvCxnSpPr>
        <xdr:cNvPr id="57" name="Прямая со стрелкой 56">
          <a:extLst>
            <a:ext uri="{FF2B5EF4-FFF2-40B4-BE49-F238E27FC236}">
              <a16:creationId xmlns:a16="http://schemas.microsoft.com/office/drawing/2014/main" id="{4FC14F8E-7CCE-4CD4-8403-55556A384D64}"/>
            </a:ext>
          </a:extLst>
        </xdr:cNvPr>
        <xdr:cNvCxnSpPr>
          <a:stCxn id="46" idx="6"/>
          <a:endCxn id="86" idx="2"/>
        </xdr:cNvCxnSpPr>
      </xdr:nvCxnSpPr>
      <xdr:spPr>
        <a:xfrm>
          <a:off x="10194681" y="2943958"/>
          <a:ext cx="1169377" cy="4396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512884</xdr:colOff>
      <xdr:row>13</xdr:row>
      <xdr:rowOff>7327</xdr:rowOff>
    </xdr:from>
    <xdr:ext cx="459036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EC9876C-FCB3-4A00-A05C-BD359EC53EB1}"/>
            </a:ext>
          </a:extLst>
        </xdr:cNvPr>
        <xdr:cNvSpPr txBox="1"/>
      </xdr:nvSpPr>
      <xdr:spPr>
        <a:xfrm>
          <a:off x="10571284" y="2683852"/>
          <a:ext cx="4590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 = 1</a:t>
          </a:r>
        </a:p>
      </xdr:txBody>
    </xdr:sp>
    <xdr:clientData/>
  </xdr:oneCellAnchor>
  <xdr:twoCellAnchor>
    <xdr:from>
      <xdr:col>15</xdr:col>
      <xdr:colOff>131884</xdr:colOff>
      <xdr:row>8</xdr:row>
      <xdr:rowOff>168520</xdr:rowOff>
    </xdr:from>
    <xdr:to>
      <xdr:col>16</xdr:col>
      <xdr:colOff>17585</xdr:colOff>
      <xdr:row>11</xdr:row>
      <xdr:rowOff>92320</xdr:rowOff>
    </xdr:to>
    <xdr:sp macro="" textlink="">
      <xdr:nvSpPr>
        <xdr:cNvPr id="83" name="Овал 82">
          <a:extLst>
            <a:ext uri="{FF2B5EF4-FFF2-40B4-BE49-F238E27FC236}">
              <a16:creationId xmlns:a16="http://schemas.microsoft.com/office/drawing/2014/main" id="{9EBC064C-1268-4B51-9AFA-E88AC49885C5}"/>
            </a:ext>
          </a:extLst>
        </xdr:cNvPr>
        <xdr:cNvSpPr/>
      </xdr:nvSpPr>
      <xdr:spPr>
        <a:xfrm>
          <a:off x="11393365" y="1890347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10</a:t>
          </a:r>
        </a:p>
      </xdr:txBody>
    </xdr:sp>
    <xdr:clientData/>
  </xdr:twoCellAnchor>
  <xdr:twoCellAnchor>
    <xdr:from>
      <xdr:col>15</xdr:col>
      <xdr:colOff>102577</xdr:colOff>
      <xdr:row>13</xdr:row>
      <xdr:rowOff>65942</xdr:rowOff>
    </xdr:from>
    <xdr:to>
      <xdr:col>15</xdr:col>
      <xdr:colOff>596412</xdr:colOff>
      <xdr:row>15</xdr:row>
      <xdr:rowOff>180242</xdr:rowOff>
    </xdr:to>
    <xdr:sp macro="" textlink="">
      <xdr:nvSpPr>
        <xdr:cNvPr id="86" name="Овал 85">
          <a:extLst>
            <a:ext uri="{FF2B5EF4-FFF2-40B4-BE49-F238E27FC236}">
              <a16:creationId xmlns:a16="http://schemas.microsoft.com/office/drawing/2014/main" id="{E5BE3058-DDDD-409C-B024-CDC2010BBD3E}"/>
            </a:ext>
          </a:extLst>
        </xdr:cNvPr>
        <xdr:cNvSpPr/>
      </xdr:nvSpPr>
      <xdr:spPr>
        <a:xfrm>
          <a:off x="11364058" y="2740269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11</a:t>
          </a:r>
        </a:p>
      </xdr:txBody>
    </xdr:sp>
    <xdr:clientData/>
  </xdr:twoCellAnchor>
  <xdr:twoCellAnchor>
    <xdr:from>
      <xdr:col>17</xdr:col>
      <xdr:colOff>58616</xdr:colOff>
      <xdr:row>11</xdr:row>
      <xdr:rowOff>51288</xdr:rowOff>
    </xdr:from>
    <xdr:to>
      <xdr:col>17</xdr:col>
      <xdr:colOff>552451</xdr:colOff>
      <xdr:row>13</xdr:row>
      <xdr:rowOff>165588</xdr:rowOff>
    </xdr:to>
    <xdr:sp macro="" textlink="">
      <xdr:nvSpPr>
        <xdr:cNvPr id="92" name="Овал 91">
          <a:extLst>
            <a:ext uri="{FF2B5EF4-FFF2-40B4-BE49-F238E27FC236}">
              <a16:creationId xmlns:a16="http://schemas.microsoft.com/office/drawing/2014/main" id="{EA42566E-EC84-4853-8931-29EF2E3D7389}"/>
            </a:ext>
          </a:extLst>
        </xdr:cNvPr>
        <xdr:cNvSpPr/>
      </xdr:nvSpPr>
      <xdr:spPr>
        <a:xfrm>
          <a:off x="12536366" y="2344615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12</a:t>
          </a:r>
        </a:p>
      </xdr:txBody>
    </xdr:sp>
    <xdr:clientData/>
  </xdr:twoCellAnchor>
  <xdr:twoCellAnchor>
    <xdr:from>
      <xdr:col>16</xdr:col>
      <xdr:colOff>17585</xdr:colOff>
      <xdr:row>10</xdr:row>
      <xdr:rowOff>35170</xdr:rowOff>
    </xdr:from>
    <xdr:to>
      <xdr:col>17</xdr:col>
      <xdr:colOff>130936</xdr:colOff>
      <xdr:row>11</xdr:row>
      <xdr:rowOff>123823</xdr:rowOff>
    </xdr:to>
    <xdr:cxnSp macro="">
      <xdr:nvCxnSpPr>
        <xdr:cNvPr id="93" name="Прямая со стрелкой 92">
          <a:extLst>
            <a:ext uri="{FF2B5EF4-FFF2-40B4-BE49-F238E27FC236}">
              <a16:creationId xmlns:a16="http://schemas.microsoft.com/office/drawing/2014/main" id="{BC15CFB0-9269-45D0-8252-9BDCCF9C5C3D}"/>
            </a:ext>
          </a:extLst>
        </xdr:cNvPr>
        <xdr:cNvCxnSpPr>
          <a:stCxn id="83" idx="6"/>
          <a:endCxn id="92" idx="1"/>
        </xdr:cNvCxnSpPr>
      </xdr:nvCxnSpPr>
      <xdr:spPr>
        <a:xfrm>
          <a:off x="11887200" y="2137997"/>
          <a:ext cx="721486" cy="27915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524092</xdr:colOff>
      <xdr:row>12</xdr:row>
      <xdr:rowOff>108438</xdr:rowOff>
    </xdr:from>
    <xdr:to>
      <xdr:col>17</xdr:col>
      <xdr:colOff>58616</xdr:colOff>
      <xdr:row>13</xdr:row>
      <xdr:rowOff>138477</xdr:rowOff>
    </xdr:to>
    <xdr:cxnSp macro="">
      <xdr:nvCxnSpPr>
        <xdr:cNvPr id="102" name="Прямая со стрелкой 101">
          <a:extLst>
            <a:ext uri="{FF2B5EF4-FFF2-40B4-BE49-F238E27FC236}">
              <a16:creationId xmlns:a16="http://schemas.microsoft.com/office/drawing/2014/main" id="{0FDEF4C8-5B64-4E79-B6A0-BF8A910B2A5F}"/>
            </a:ext>
          </a:extLst>
        </xdr:cNvPr>
        <xdr:cNvCxnSpPr>
          <a:stCxn id="86" idx="7"/>
          <a:endCxn id="92" idx="2"/>
        </xdr:cNvCxnSpPr>
      </xdr:nvCxnSpPr>
      <xdr:spPr>
        <a:xfrm flipV="1">
          <a:off x="11785573" y="2592265"/>
          <a:ext cx="750793" cy="22053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552451</xdr:colOff>
      <xdr:row>12</xdr:row>
      <xdr:rowOff>108438</xdr:rowOff>
    </xdr:from>
    <xdr:to>
      <xdr:col>19</xdr:col>
      <xdr:colOff>51288</xdr:colOff>
      <xdr:row>12</xdr:row>
      <xdr:rowOff>130419</xdr:rowOff>
    </xdr:to>
    <xdr:cxnSp macro="">
      <xdr:nvCxnSpPr>
        <xdr:cNvPr id="107" name="Прямая со стрелкой 106">
          <a:extLst>
            <a:ext uri="{FF2B5EF4-FFF2-40B4-BE49-F238E27FC236}">
              <a16:creationId xmlns:a16="http://schemas.microsoft.com/office/drawing/2014/main" id="{F1F651E0-FCF7-471A-BCD7-13A5306B5109}"/>
            </a:ext>
          </a:extLst>
        </xdr:cNvPr>
        <xdr:cNvCxnSpPr>
          <a:stCxn id="92" idx="6"/>
          <a:endCxn id="143" idx="2"/>
        </xdr:cNvCxnSpPr>
      </xdr:nvCxnSpPr>
      <xdr:spPr>
        <a:xfrm>
          <a:off x="13030201" y="2592265"/>
          <a:ext cx="715106" cy="219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58616</xdr:colOff>
      <xdr:row>11</xdr:row>
      <xdr:rowOff>29307</xdr:rowOff>
    </xdr:from>
    <xdr:ext cx="50315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E70B402C-FB4C-4223-B105-06917CEFBB04}"/>
            </a:ext>
          </a:extLst>
        </xdr:cNvPr>
        <xdr:cNvSpPr txBox="1"/>
      </xdr:nvSpPr>
      <xdr:spPr>
        <a:xfrm>
          <a:off x="13165016" y="2324832"/>
          <a:ext cx="5031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Ж = 5</a:t>
          </a:r>
        </a:p>
      </xdr:txBody>
    </xdr:sp>
    <xdr:clientData/>
  </xdr:oneCellAnchor>
  <xdr:twoCellAnchor>
    <xdr:from>
      <xdr:col>11</xdr:col>
      <xdr:colOff>505558</xdr:colOff>
      <xdr:row>17</xdr:row>
      <xdr:rowOff>80596</xdr:rowOff>
    </xdr:from>
    <xdr:to>
      <xdr:col>12</xdr:col>
      <xdr:colOff>391258</xdr:colOff>
      <xdr:row>20</xdr:row>
      <xdr:rowOff>4396</xdr:rowOff>
    </xdr:to>
    <xdr:sp macro="" textlink="">
      <xdr:nvSpPr>
        <xdr:cNvPr id="122" name="Овал 121">
          <a:extLst>
            <a:ext uri="{FF2B5EF4-FFF2-40B4-BE49-F238E27FC236}">
              <a16:creationId xmlns:a16="http://schemas.microsoft.com/office/drawing/2014/main" id="{71408D76-77DA-42A0-ABB1-FA187B9C60AC}"/>
            </a:ext>
          </a:extLst>
        </xdr:cNvPr>
        <xdr:cNvSpPr/>
      </xdr:nvSpPr>
      <xdr:spPr>
        <a:xfrm>
          <a:off x="9334500" y="3516923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13</a:t>
          </a:r>
        </a:p>
      </xdr:txBody>
    </xdr:sp>
    <xdr:clientData/>
  </xdr:twoCellAnchor>
  <xdr:twoCellAnchor>
    <xdr:from>
      <xdr:col>10</xdr:col>
      <xdr:colOff>564390</xdr:colOff>
      <xdr:row>7</xdr:row>
      <xdr:rowOff>44696</xdr:rowOff>
    </xdr:from>
    <xdr:to>
      <xdr:col>12</xdr:col>
      <xdr:colOff>144341</xdr:colOff>
      <xdr:row>17</xdr:row>
      <xdr:rowOff>80596</xdr:rowOff>
    </xdr:to>
    <xdr:cxnSp macro="">
      <xdr:nvCxnSpPr>
        <xdr:cNvPr id="123" name="Прямая со стрелкой 122">
          <a:extLst>
            <a:ext uri="{FF2B5EF4-FFF2-40B4-BE49-F238E27FC236}">
              <a16:creationId xmlns:a16="http://schemas.microsoft.com/office/drawing/2014/main" id="{B2D6FC15-E58E-4C9D-850D-4900F0C0FD57}"/>
            </a:ext>
          </a:extLst>
        </xdr:cNvPr>
        <xdr:cNvCxnSpPr>
          <a:stCxn id="25" idx="5"/>
          <a:endCxn id="122" idx="0"/>
        </xdr:cNvCxnSpPr>
      </xdr:nvCxnSpPr>
      <xdr:spPr>
        <a:xfrm>
          <a:off x="8785198" y="1576023"/>
          <a:ext cx="796220" cy="194090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427892</xdr:colOff>
      <xdr:row>11</xdr:row>
      <xdr:rowOff>66675</xdr:rowOff>
    </xdr:from>
    <xdr:to>
      <xdr:col>11</xdr:col>
      <xdr:colOff>577878</xdr:colOff>
      <xdr:row>17</xdr:row>
      <xdr:rowOff>153131</xdr:rowOff>
    </xdr:to>
    <xdr:cxnSp macro="">
      <xdr:nvCxnSpPr>
        <xdr:cNvPr id="127" name="Прямая со стрелкой 126">
          <a:extLst>
            <a:ext uri="{FF2B5EF4-FFF2-40B4-BE49-F238E27FC236}">
              <a16:creationId xmlns:a16="http://schemas.microsoft.com/office/drawing/2014/main" id="{2A924320-8F86-40E5-902E-302DB3F3037B}"/>
            </a:ext>
          </a:extLst>
        </xdr:cNvPr>
        <xdr:cNvCxnSpPr>
          <a:stCxn id="26" idx="4"/>
          <a:endCxn id="122" idx="1"/>
        </xdr:cNvCxnSpPr>
      </xdr:nvCxnSpPr>
      <xdr:spPr>
        <a:xfrm>
          <a:off x="8648700" y="2360002"/>
          <a:ext cx="758120" cy="122945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529952</xdr:colOff>
      <xdr:row>14</xdr:row>
      <xdr:rowOff>76934</xdr:rowOff>
    </xdr:from>
    <xdr:to>
      <xdr:col>11</xdr:col>
      <xdr:colOff>505558</xdr:colOff>
      <xdr:row>18</xdr:row>
      <xdr:rowOff>137746</xdr:rowOff>
    </xdr:to>
    <xdr:cxnSp macro="">
      <xdr:nvCxnSpPr>
        <xdr:cNvPr id="131" name="Прямая со стрелкой 130">
          <a:extLst>
            <a:ext uri="{FF2B5EF4-FFF2-40B4-BE49-F238E27FC236}">
              <a16:creationId xmlns:a16="http://schemas.microsoft.com/office/drawing/2014/main" id="{D6433896-BE28-4330-BF99-00578547B352}"/>
            </a:ext>
          </a:extLst>
        </xdr:cNvPr>
        <xdr:cNvCxnSpPr>
          <a:stCxn id="27" idx="5"/>
          <a:endCxn id="122" idx="2"/>
        </xdr:cNvCxnSpPr>
      </xdr:nvCxnSpPr>
      <xdr:spPr>
        <a:xfrm>
          <a:off x="8750760" y="2941761"/>
          <a:ext cx="583740" cy="82281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434486</xdr:colOff>
      <xdr:row>16</xdr:row>
      <xdr:rowOff>121627</xdr:rowOff>
    </xdr:from>
    <xdr:to>
      <xdr:col>11</xdr:col>
      <xdr:colOff>577878</xdr:colOff>
      <xdr:row>19</xdr:row>
      <xdr:rowOff>122361</xdr:rowOff>
    </xdr:to>
    <xdr:cxnSp macro="">
      <xdr:nvCxnSpPr>
        <xdr:cNvPr id="134" name="Прямая со стрелкой 133">
          <a:extLst>
            <a:ext uri="{FF2B5EF4-FFF2-40B4-BE49-F238E27FC236}">
              <a16:creationId xmlns:a16="http://schemas.microsoft.com/office/drawing/2014/main" id="{C67B59C2-647A-4E00-A5BC-B48152264350}"/>
            </a:ext>
          </a:extLst>
        </xdr:cNvPr>
        <xdr:cNvCxnSpPr>
          <a:stCxn id="28" idx="6"/>
          <a:endCxn id="122" idx="3"/>
        </xdr:cNvCxnSpPr>
      </xdr:nvCxnSpPr>
      <xdr:spPr>
        <a:xfrm>
          <a:off x="8655294" y="3367454"/>
          <a:ext cx="751526" cy="57223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391258</xdr:colOff>
      <xdr:row>18</xdr:row>
      <xdr:rowOff>137746</xdr:rowOff>
    </xdr:from>
    <xdr:to>
      <xdr:col>14</xdr:col>
      <xdr:colOff>366347</xdr:colOff>
      <xdr:row>18</xdr:row>
      <xdr:rowOff>152400</xdr:rowOff>
    </xdr:to>
    <xdr:cxnSp macro="">
      <xdr:nvCxnSpPr>
        <xdr:cNvPr id="137" name="Прямая со стрелкой 136">
          <a:extLst>
            <a:ext uri="{FF2B5EF4-FFF2-40B4-BE49-F238E27FC236}">
              <a16:creationId xmlns:a16="http://schemas.microsoft.com/office/drawing/2014/main" id="{96C391C2-A2E7-4C92-BB54-52C7BBC20A0B}"/>
            </a:ext>
          </a:extLst>
        </xdr:cNvPr>
        <xdr:cNvCxnSpPr>
          <a:stCxn id="122" idx="6"/>
          <a:endCxn id="141" idx="2"/>
        </xdr:cNvCxnSpPr>
      </xdr:nvCxnSpPr>
      <xdr:spPr>
        <a:xfrm>
          <a:off x="9828335" y="3764573"/>
          <a:ext cx="1191358" cy="1465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80596</xdr:colOff>
      <xdr:row>17</xdr:row>
      <xdr:rowOff>87923</xdr:rowOff>
    </xdr:from>
    <xdr:ext cx="480709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C4CAC8F4-8ADE-4D83-9A33-1B0780DC6A82}"/>
            </a:ext>
          </a:extLst>
        </xdr:cNvPr>
        <xdr:cNvSpPr txBox="1"/>
      </xdr:nvSpPr>
      <xdr:spPr>
        <a:xfrm>
          <a:off x="10138996" y="3526448"/>
          <a:ext cx="48070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И = 3</a:t>
          </a:r>
        </a:p>
      </xdr:txBody>
    </xdr:sp>
    <xdr:clientData/>
  </xdr:oneCellAnchor>
  <xdr:twoCellAnchor>
    <xdr:from>
      <xdr:col>14</xdr:col>
      <xdr:colOff>366347</xdr:colOff>
      <xdr:row>17</xdr:row>
      <xdr:rowOff>95250</xdr:rowOff>
    </xdr:from>
    <xdr:to>
      <xdr:col>15</xdr:col>
      <xdr:colOff>252047</xdr:colOff>
      <xdr:row>20</xdr:row>
      <xdr:rowOff>19050</xdr:rowOff>
    </xdr:to>
    <xdr:sp macro="" textlink="">
      <xdr:nvSpPr>
        <xdr:cNvPr id="141" name="Овал 140">
          <a:extLst>
            <a:ext uri="{FF2B5EF4-FFF2-40B4-BE49-F238E27FC236}">
              <a16:creationId xmlns:a16="http://schemas.microsoft.com/office/drawing/2014/main" id="{40E9E232-1A64-44E4-9665-BCF43B0D7D30}"/>
            </a:ext>
          </a:extLst>
        </xdr:cNvPr>
        <xdr:cNvSpPr/>
      </xdr:nvSpPr>
      <xdr:spPr>
        <a:xfrm>
          <a:off x="11019693" y="3531577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14</a:t>
          </a:r>
        </a:p>
      </xdr:txBody>
    </xdr:sp>
    <xdr:clientData/>
  </xdr:twoCellAnchor>
  <xdr:twoCellAnchor>
    <xdr:from>
      <xdr:col>19</xdr:col>
      <xdr:colOff>51288</xdr:colOff>
      <xdr:row>11</xdr:row>
      <xdr:rowOff>73269</xdr:rowOff>
    </xdr:from>
    <xdr:to>
      <xdr:col>19</xdr:col>
      <xdr:colOff>545123</xdr:colOff>
      <xdr:row>13</xdr:row>
      <xdr:rowOff>187569</xdr:rowOff>
    </xdr:to>
    <xdr:sp macro="" textlink="">
      <xdr:nvSpPr>
        <xdr:cNvPr id="143" name="Овал 142">
          <a:extLst>
            <a:ext uri="{FF2B5EF4-FFF2-40B4-BE49-F238E27FC236}">
              <a16:creationId xmlns:a16="http://schemas.microsoft.com/office/drawing/2014/main" id="{2664B49B-9F56-4484-A552-2E785FACF5EC}"/>
            </a:ext>
          </a:extLst>
        </xdr:cNvPr>
        <xdr:cNvSpPr/>
      </xdr:nvSpPr>
      <xdr:spPr>
        <a:xfrm>
          <a:off x="13745307" y="2366596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15</a:t>
          </a:r>
        </a:p>
      </xdr:txBody>
    </xdr:sp>
    <xdr:clientData/>
  </xdr:twoCellAnchor>
  <xdr:twoCellAnchor>
    <xdr:from>
      <xdr:col>18</xdr:col>
      <xdr:colOff>540727</xdr:colOff>
      <xdr:row>18</xdr:row>
      <xdr:rowOff>27842</xdr:rowOff>
    </xdr:from>
    <xdr:to>
      <xdr:col>19</xdr:col>
      <xdr:colOff>426428</xdr:colOff>
      <xdr:row>20</xdr:row>
      <xdr:rowOff>142142</xdr:rowOff>
    </xdr:to>
    <xdr:sp macro="" textlink="">
      <xdr:nvSpPr>
        <xdr:cNvPr id="145" name="Овал 144">
          <a:extLst>
            <a:ext uri="{FF2B5EF4-FFF2-40B4-BE49-F238E27FC236}">
              <a16:creationId xmlns:a16="http://schemas.microsoft.com/office/drawing/2014/main" id="{5EBFF1EA-3FEB-4773-A546-DCDDEC0EFD5B}"/>
            </a:ext>
          </a:extLst>
        </xdr:cNvPr>
        <xdr:cNvSpPr/>
      </xdr:nvSpPr>
      <xdr:spPr>
        <a:xfrm>
          <a:off x="13626612" y="3654669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16</a:t>
          </a:r>
        </a:p>
      </xdr:txBody>
    </xdr:sp>
    <xdr:clientData/>
  </xdr:twoCellAnchor>
  <xdr:twoCellAnchor>
    <xdr:from>
      <xdr:col>15</xdr:col>
      <xdr:colOff>252047</xdr:colOff>
      <xdr:row>18</xdr:row>
      <xdr:rowOff>152400</xdr:rowOff>
    </xdr:from>
    <xdr:to>
      <xdr:col>18</xdr:col>
      <xdr:colOff>540727</xdr:colOff>
      <xdr:row>19</xdr:row>
      <xdr:rowOff>84992</xdr:rowOff>
    </xdr:to>
    <xdr:cxnSp macro="">
      <xdr:nvCxnSpPr>
        <xdr:cNvPr id="146" name="Прямая со стрелкой 145">
          <a:extLst>
            <a:ext uri="{FF2B5EF4-FFF2-40B4-BE49-F238E27FC236}">
              <a16:creationId xmlns:a16="http://schemas.microsoft.com/office/drawing/2014/main" id="{C9C1FAE7-D6BC-44CE-9894-FCBAAF60EC03}"/>
            </a:ext>
          </a:extLst>
        </xdr:cNvPr>
        <xdr:cNvCxnSpPr>
          <a:stCxn id="141" idx="6"/>
          <a:endCxn id="145" idx="2"/>
        </xdr:cNvCxnSpPr>
      </xdr:nvCxnSpPr>
      <xdr:spPr>
        <a:xfrm>
          <a:off x="11513528" y="3779227"/>
          <a:ext cx="2113084" cy="12309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179511</xdr:colOff>
      <xdr:row>13</xdr:row>
      <xdr:rowOff>187569</xdr:rowOff>
    </xdr:from>
    <xdr:to>
      <xdr:col>19</xdr:col>
      <xdr:colOff>298206</xdr:colOff>
      <xdr:row>18</xdr:row>
      <xdr:rowOff>27842</xdr:rowOff>
    </xdr:to>
    <xdr:cxnSp macro="">
      <xdr:nvCxnSpPr>
        <xdr:cNvPr id="149" name="Прямая со стрелкой 148">
          <a:extLst>
            <a:ext uri="{FF2B5EF4-FFF2-40B4-BE49-F238E27FC236}">
              <a16:creationId xmlns:a16="http://schemas.microsoft.com/office/drawing/2014/main" id="{0392F922-E395-4916-BC7C-35CE4E04AE88}"/>
            </a:ext>
          </a:extLst>
        </xdr:cNvPr>
        <xdr:cNvCxnSpPr>
          <a:stCxn id="143" idx="4"/>
          <a:endCxn id="145" idx="0"/>
        </xdr:cNvCxnSpPr>
      </xdr:nvCxnSpPr>
      <xdr:spPr>
        <a:xfrm flipH="1">
          <a:off x="13873530" y="2861896"/>
          <a:ext cx="118695" cy="79277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426428</xdr:colOff>
      <xdr:row>19</xdr:row>
      <xdr:rowOff>84992</xdr:rowOff>
    </xdr:from>
    <xdr:to>
      <xdr:col>21</xdr:col>
      <xdr:colOff>161192</xdr:colOff>
      <xdr:row>19</xdr:row>
      <xdr:rowOff>108439</xdr:rowOff>
    </xdr:to>
    <xdr:cxnSp macro="">
      <xdr:nvCxnSpPr>
        <xdr:cNvPr id="152" name="Прямая со стрелкой 151">
          <a:extLst>
            <a:ext uri="{FF2B5EF4-FFF2-40B4-BE49-F238E27FC236}">
              <a16:creationId xmlns:a16="http://schemas.microsoft.com/office/drawing/2014/main" id="{630F2B7C-25BB-4521-B64F-078EE4D24A1E}"/>
            </a:ext>
          </a:extLst>
        </xdr:cNvPr>
        <xdr:cNvCxnSpPr>
          <a:stCxn id="145" idx="6"/>
          <a:endCxn id="156" idx="2"/>
        </xdr:cNvCxnSpPr>
      </xdr:nvCxnSpPr>
      <xdr:spPr>
        <a:xfrm>
          <a:off x="14120447" y="3902319"/>
          <a:ext cx="951033" cy="234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80596</xdr:colOff>
      <xdr:row>18</xdr:row>
      <xdr:rowOff>43961</xdr:rowOff>
    </xdr:from>
    <xdr:ext cx="466794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8035ACF1-0617-4D13-BD8B-3EC7E1B0A145}"/>
            </a:ext>
          </a:extLst>
        </xdr:cNvPr>
        <xdr:cNvSpPr txBox="1"/>
      </xdr:nvSpPr>
      <xdr:spPr>
        <a:xfrm>
          <a:off x="14406196" y="3672986"/>
          <a:ext cx="4667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К = 2</a:t>
          </a:r>
        </a:p>
      </xdr:txBody>
    </xdr:sp>
    <xdr:clientData/>
  </xdr:oneCellAnchor>
  <xdr:twoCellAnchor>
    <xdr:from>
      <xdr:col>21</xdr:col>
      <xdr:colOff>161192</xdr:colOff>
      <xdr:row>18</xdr:row>
      <xdr:rowOff>51289</xdr:rowOff>
    </xdr:from>
    <xdr:to>
      <xdr:col>22</xdr:col>
      <xdr:colOff>46892</xdr:colOff>
      <xdr:row>20</xdr:row>
      <xdr:rowOff>165589</xdr:rowOff>
    </xdr:to>
    <xdr:sp macro="" textlink="">
      <xdr:nvSpPr>
        <xdr:cNvPr id="156" name="Овал 155">
          <a:extLst>
            <a:ext uri="{FF2B5EF4-FFF2-40B4-BE49-F238E27FC236}">
              <a16:creationId xmlns:a16="http://schemas.microsoft.com/office/drawing/2014/main" id="{5C883BBF-B50A-47D9-9F35-32EDDDEE215A}"/>
            </a:ext>
          </a:extLst>
        </xdr:cNvPr>
        <xdr:cNvSpPr/>
      </xdr:nvSpPr>
      <xdr:spPr>
        <a:xfrm>
          <a:off x="15071480" y="3678116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17</a:t>
          </a:r>
        </a:p>
      </xdr:txBody>
    </xdr:sp>
    <xdr:clientData/>
  </xdr:twoCellAnchor>
  <xdr:twoCellAnchor>
    <xdr:from>
      <xdr:col>15</xdr:col>
      <xdr:colOff>73270</xdr:colOff>
      <xdr:row>1</xdr:row>
      <xdr:rowOff>21981</xdr:rowOff>
    </xdr:from>
    <xdr:to>
      <xdr:col>15</xdr:col>
      <xdr:colOff>567105</xdr:colOff>
      <xdr:row>3</xdr:row>
      <xdr:rowOff>136281</xdr:rowOff>
    </xdr:to>
    <xdr:sp macro="" textlink="">
      <xdr:nvSpPr>
        <xdr:cNvPr id="158" name="Овал 157">
          <a:extLst>
            <a:ext uri="{FF2B5EF4-FFF2-40B4-BE49-F238E27FC236}">
              <a16:creationId xmlns:a16="http://schemas.microsoft.com/office/drawing/2014/main" id="{5A7FE253-3ECA-4C33-BC12-DA127968C6CD}"/>
            </a:ext>
          </a:extLst>
        </xdr:cNvPr>
        <xdr:cNvSpPr/>
      </xdr:nvSpPr>
      <xdr:spPr>
        <a:xfrm>
          <a:off x="11334751" y="410308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18</a:t>
          </a:r>
        </a:p>
      </xdr:txBody>
    </xdr:sp>
    <xdr:clientData/>
  </xdr:twoCellAnchor>
  <xdr:twoCellAnchor>
    <xdr:from>
      <xdr:col>19</xdr:col>
      <xdr:colOff>95251</xdr:colOff>
      <xdr:row>1</xdr:row>
      <xdr:rowOff>36634</xdr:rowOff>
    </xdr:from>
    <xdr:to>
      <xdr:col>19</xdr:col>
      <xdr:colOff>589086</xdr:colOff>
      <xdr:row>3</xdr:row>
      <xdr:rowOff>150934</xdr:rowOff>
    </xdr:to>
    <xdr:sp macro="" textlink="">
      <xdr:nvSpPr>
        <xdr:cNvPr id="160" name="Овал 159">
          <a:extLst>
            <a:ext uri="{FF2B5EF4-FFF2-40B4-BE49-F238E27FC236}">
              <a16:creationId xmlns:a16="http://schemas.microsoft.com/office/drawing/2014/main" id="{B89D8970-AC81-49A6-B2CF-4EAAE30AFDAC}"/>
            </a:ext>
          </a:extLst>
        </xdr:cNvPr>
        <xdr:cNvSpPr/>
      </xdr:nvSpPr>
      <xdr:spPr>
        <a:xfrm>
          <a:off x="13789270" y="424961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19</a:t>
          </a:r>
        </a:p>
      </xdr:txBody>
    </xdr:sp>
    <xdr:clientData/>
  </xdr:twoCellAnchor>
  <xdr:twoCellAnchor>
    <xdr:from>
      <xdr:col>15</xdr:col>
      <xdr:colOff>567105</xdr:colOff>
      <xdr:row>2</xdr:row>
      <xdr:rowOff>79131</xdr:rowOff>
    </xdr:from>
    <xdr:to>
      <xdr:col>19</xdr:col>
      <xdr:colOff>95251</xdr:colOff>
      <xdr:row>2</xdr:row>
      <xdr:rowOff>93784</xdr:rowOff>
    </xdr:to>
    <xdr:cxnSp macro="">
      <xdr:nvCxnSpPr>
        <xdr:cNvPr id="161" name="Прямая со стрелкой 160">
          <a:extLst>
            <a:ext uri="{FF2B5EF4-FFF2-40B4-BE49-F238E27FC236}">
              <a16:creationId xmlns:a16="http://schemas.microsoft.com/office/drawing/2014/main" id="{6EDC6C7A-4CC1-434D-9064-38D13948BB5B}"/>
            </a:ext>
          </a:extLst>
        </xdr:cNvPr>
        <xdr:cNvCxnSpPr>
          <a:stCxn id="158" idx="6"/>
          <a:endCxn id="160" idx="2"/>
        </xdr:cNvCxnSpPr>
      </xdr:nvCxnSpPr>
      <xdr:spPr>
        <a:xfrm>
          <a:off x="11828586" y="657958"/>
          <a:ext cx="1960684" cy="1465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342169</xdr:colOff>
      <xdr:row>3</xdr:row>
      <xdr:rowOff>150934</xdr:rowOff>
    </xdr:from>
    <xdr:to>
      <xdr:col>21</xdr:col>
      <xdr:colOff>408110</xdr:colOff>
      <xdr:row>18</xdr:row>
      <xdr:rowOff>51289</xdr:rowOff>
    </xdr:to>
    <xdr:cxnSp macro="">
      <xdr:nvCxnSpPr>
        <xdr:cNvPr id="164" name="Прямая со стрелкой 163">
          <a:extLst>
            <a:ext uri="{FF2B5EF4-FFF2-40B4-BE49-F238E27FC236}">
              <a16:creationId xmlns:a16="http://schemas.microsoft.com/office/drawing/2014/main" id="{DDBCCAAD-5802-41B1-81BD-6BF9D63045C3}"/>
            </a:ext>
          </a:extLst>
        </xdr:cNvPr>
        <xdr:cNvCxnSpPr>
          <a:stCxn id="156" idx="0"/>
          <a:endCxn id="160" idx="4"/>
        </xdr:cNvCxnSpPr>
      </xdr:nvCxnSpPr>
      <xdr:spPr>
        <a:xfrm flipH="1" flipV="1">
          <a:off x="14036188" y="920261"/>
          <a:ext cx="1282210" cy="275785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589086</xdr:colOff>
      <xdr:row>2</xdr:row>
      <xdr:rowOff>93784</xdr:rowOff>
    </xdr:from>
    <xdr:to>
      <xdr:col>22</xdr:col>
      <xdr:colOff>51289</xdr:colOff>
      <xdr:row>2</xdr:row>
      <xdr:rowOff>101111</xdr:rowOff>
    </xdr:to>
    <xdr:cxnSp macro="">
      <xdr:nvCxnSpPr>
        <xdr:cNvPr id="167" name="Прямая со стрелкой 166">
          <a:extLst>
            <a:ext uri="{FF2B5EF4-FFF2-40B4-BE49-F238E27FC236}">
              <a16:creationId xmlns:a16="http://schemas.microsoft.com/office/drawing/2014/main" id="{875D8A1F-2AA9-43C1-90E0-CE82683A9037}"/>
            </a:ext>
          </a:extLst>
        </xdr:cNvPr>
        <xdr:cNvCxnSpPr>
          <a:stCxn id="160" idx="6"/>
          <a:endCxn id="171" idx="2"/>
        </xdr:cNvCxnSpPr>
      </xdr:nvCxnSpPr>
      <xdr:spPr>
        <a:xfrm>
          <a:off x="14283105" y="672611"/>
          <a:ext cx="1286607" cy="73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432288</xdr:colOff>
      <xdr:row>1</xdr:row>
      <xdr:rowOff>43962</xdr:rowOff>
    </xdr:from>
    <xdr:ext cx="476349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A3F505F7-3AC9-4B9C-AAC6-09BA05EF16AB}"/>
            </a:ext>
          </a:extLst>
        </xdr:cNvPr>
        <xdr:cNvSpPr txBox="1"/>
      </xdr:nvSpPr>
      <xdr:spPr>
        <a:xfrm>
          <a:off x="14757888" y="434487"/>
          <a:ext cx="476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Л = 6</a:t>
          </a:r>
        </a:p>
      </xdr:txBody>
    </xdr:sp>
    <xdr:clientData/>
  </xdr:oneCellAnchor>
  <xdr:twoCellAnchor>
    <xdr:from>
      <xdr:col>22</xdr:col>
      <xdr:colOff>51289</xdr:colOff>
      <xdr:row>1</xdr:row>
      <xdr:rowOff>43961</xdr:rowOff>
    </xdr:from>
    <xdr:to>
      <xdr:col>22</xdr:col>
      <xdr:colOff>545124</xdr:colOff>
      <xdr:row>3</xdr:row>
      <xdr:rowOff>158261</xdr:rowOff>
    </xdr:to>
    <xdr:sp macro="" textlink="">
      <xdr:nvSpPr>
        <xdr:cNvPr id="171" name="Овал 170">
          <a:extLst>
            <a:ext uri="{FF2B5EF4-FFF2-40B4-BE49-F238E27FC236}">
              <a16:creationId xmlns:a16="http://schemas.microsoft.com/office/drawing/2014/main" id="{2EC2182C-4E88-4118-A1E6-E55DD1F0941E}"/>
            </a:ext>
          </a:extLst>
        </xdr:cNvPr>
        <xdr:cNvSpPr/>
      </xdr:nvSpPr>
      <xdr:spPr>
        <a:xfrm>
          <a:off x="15569712" y="432288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20</a:t>
          </a:r>
        </a:p>
      </xdr:txBody>
    </xdr:sp>
    <xdr:clientData/>
  </xdr:twoCellAnchor>
  <xdr:twoCellAnchor>
    <xdr:from>
      <xdr:col>24</xdr:col>
      <xdr:colOff>373674</xdr:colOff>
      <xdr:row>1</xdr:row>
      <xdr:rowOff>58616</xdr:rowOff>
    </xdr:from>
    <xdr:to>
      <xdr:col>25</xdr:col>
      <xdr:colOff>259374</xdr:colOff>
      <xdr:row>3</xdr:row>
      <xdr:rowOff>172916</xdr:rowOff>
    </xdr:to>
    <xdr:sp macro="" textlink="">
      <xdr:nvSpPr>
        <xdr:cNvPr id="173" name="Овал 172">
          <a:extLst>
            <a:ext uri="{FF2B5EF4-FFF2-40B4-BE49-F238E27FC236}">
              <a16:creationId xmlns:a16="http://schemas.microsoft.com/office/drawing/2014/main" id="{7B3EAF46-C918-45DF-AB4E-75D22A6B978E}"/>
            </a:ext>
          </a:extLst>
        </xdr:cNvPr>
        <xdr:cNvSpPr/>
      </xdr:nvSpPr>
      <xdr:spPr>
        <a:xfrm>
          <a:off x="17108366" y="446943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21</a:t>
          </a:r>
        </a:p>
      </xdr:txBody>
    </xdr:sp>
    <xdr:clientData/>
  </xdr:twoCellAnchor>
  <xdr:twoCellAnchor>
    <xdr:from>
      <xdr:col>22</xdr:col>
      <xdr:colOff>545124</xdr:colOff>
      <xdr:row>2</xdr:row>
      <xdr:rowOff>101111</xdr:rowOff>
    </xdr:from>
    <xdr:to>
      <xdr:col>24</xdr:col>
      <xdr:colOff>373674</xdr:colOff>
      <xdr:row>2</xdr:row>
      <xdr:rowOff>115766</xdr:rowOff>
    </xdr:to>
    <xdr:cxnSp macro="">
      <xdr:nvCxnSpPr>
        <xdr:cNvPr id="174" name="Прямая со стрелкой 173">
          <a:extLst>
            <a:ext uri="{FF2B5EF4-FFF2-40B4-BE49-F238E27FC236}">
              <a16:creationId xmlns:a16="http://schemas.microsoft.com/office/drawing/2014/main" id="{BDFF2647-015F-4000-B7A0-74D6BF372C57}"/>
            </a:ext>
          </a:extLst>
        </xdr:cNvPr>
        <xdr:cNvCxnSpPr>
          <a:stCxn id="171" idx="6"/>
          <a:endCxn id="173" idx="2"/>
        </xdr:cNvCxnSpPr>
      </xdr:nvCxnSpPr>
      <xdr:spPr>
        <a:xfrm>
          <a:off x="16063547" y="679938"/>
          <a:ext cx="1044819" cy="146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249115</xdr:colOff>
      <xdr:row>1</xdr:row>
      <xdr:rowOff>73269</xdr:rowOff>
    </xdr:from>
    <xdr:ext cx="51078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14D3D7D7-1298-407D-AA42-44199026B338}"/>
            </a:ext>
          </a:extLst>
        </xdr:cNvPr>
        <xdr:cNvSpPr txBox="1"/>
      </xdr:nvSpPr>
      <xdr:spPr>
        <a:xfrm>
          <a:off x="16403515" y="463794"/>
          <a:ext cx="51078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М = 3</a:t>
          </a:r>
        </a:p>
      </xdr:txBody>
    </xdr:sp>
    <xdr:clientData/>
  </xdr:oneCellAnchor>
  <xdr:twoCellAnchor>
    <xdr:from>
      <xdr:col>17</xdr:col>
      <xdr:colOff>410307</xdr:colOff>
      <xdr:row>23</xdr:row>
      <xdr:rowOff>73269</xdr:rowOff>
    </xdr:from>
    <xdr:to>
      <xdr:col>18</xdr:col>
      <xdr:colOff>296007</xdr:colOff>
      <xdr:row>25</xdr:row>
      <xdr:rowOff>187569</xdr:rowOff>
    </xdr:to>
    <xdr:sp macro="" textlink="">
      <xdr:nvSpPr>
        <xdr:cNvPr id="178" name="Овал 177">
          <a:extLst>
            <a:ext uri="{FF2B5EF4-FFF2-40B4-BE49-F238E27FC236}">
              <a16:creationId xmlns:a16="http://schemas.microsoft.com/office/drawing/2014/main" id="{EFE9EEE5-6CCB-4F32-A29A-4181812A03A6}"/>
            </a:ext>
          </a:extLst>
        </xdr:cNvPr>
        <xdr:cNvSpPr/>
      </xdr:nvSpPr>
      <xdr:spPr>
        <a:xfrm>
          <a:off x="12888057" y="4652596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22</a:t>
          </a:r>
        </a:p>
      </xdr:txBody>
    </xdr:sp>
    <xdr:clientData/>
  </xdr:twoCellAnchor>
  <xdr:twoCellAnchor>
    <xdr:from>
      <xdr:col>15</xdr:col>
      <xdr:colOff>553399</xdr:colOff>
      <xdr:row>11</xdr:row>
      <xdr:rowOff>19785</xdr:rowOff>
    </xdr:from>
    <xdr:to>
      <xdr:col>18</xdr:col>
      <xdr:colOff>49090</xdr:colOff>
      <xdr:row>23</xdr:row>
      <xdr:rowOff>73269</xdr:rowOff>
    </xdr:to>
    <xdr:cxnSp macro="">
      <xdr:nvCxnSpPr>
        <xdr:cNvPr id="179" name="Прямая со стрелкой 178">
          <a:extLst>
            <a:ext uri="{FF2B5EF4-FFF2-40B4-BE49-F238E27FC236}">
              <a16:creationId xmlns:a16="http://schemas.microsoft.com/office/drawing/2014/main" id="{46048A88-6C91-4DCA-96E5-640D77AFD073}"/>
            </a:ext>
          </a:extLst>
        </xdr:cNvPr>
        <xdr:cNvCxnSpPr>
          <a:stCxn id="83" idx="5"/>
          <a:endCxn id="178" idx="0"/>
        </xdr:cNvCxnSpPr>
      </xdr:nvCxnSpPr>
      <xdr:spPr>
        <a:xfrm>
          <a:off x="11814880" y="2313112"/>
          <a:ext cx="1320095" cy="233948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596412</xdr:colOff>
      <xdr:row>14</xdr:row>
      <xdr:rowOff>123092</xdr:rowOff>
    </xdr:from>
    <xdr:to>
      <xdr:col>17</xdr:col>
      <xdr:colOff>482627</xdr:colOff>
      <xdr:row>23</xdr:row>
      <xdr:rowOff>145804</xdr:rowOff>
    </xdr:to>
    <xdr:cxnSp macro="">
      <xdr:nvCxnSpPr>
        <xdr:cNvPr id="182" name="Прямая со стрелкой 181">
          <a:extLst>
            <a:ext uri="{FF2B5EF4-FFF2-40B4-BE49-F238E27FC236}">
              <a16:creationId xmlns:a16="http://schemas.microsoft.com/office/drawing/2014/main" id="{6755DA19-36E1-4FBA-A3B1-81AE0021EB1F}"/>
            </a:ext>
          </a:extLst>
        </xdr:cNvPr>
        <xdr:cNvCxnSpPr>
          <a:stCxn id="86" idx="6"/>
          <a:endCxn id="178" idx="1"/>
        </xdr:cNvCxnSpPr>
      </xdr:nvCxnSpPr>
      <xdr:spPr>
        <a:xfrm>
          <a:off x="11857893" y="2987919"/>
          <a:ext cx="1102484" cy="1737212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493834</xdr:colOff>
      <xdr:row>22</xdr:row>
      <xdr:rowOff>94517</xdr:rowOff>
    </xdr:from>
    <xdr:to>
      <xdr:col>17</xdr:col>
      <xdr:colOff>410307</xdr:colOff>
      <xdr:row>24</xdr:row>
      <xdr:rowOff>130419</xdr:rowOff>
    </xdr:to>
    <xdr:cxnSp macro="">
      <xdr:nvCxnSpPr>
        <xdr:cNvPr id="185" name="Прямая со стрелкой 184">
          <a:extLst>
            <a:ext uri="{FF2B5EF4-FFF2-40B4-BE49-F238E27FC236}">
              <a16:creationId xmlns:a16="http://schemas.microsoft.com/office/drawing/2014/main" id="{209CD5D5-3F7F-442E-97A7-8FD505D1BCAF}"/>
            </a:ext>
          </a:extLst>
        </xdr:cNvPr>
        <xdr:cNvCxnSpPr>
          <a:stCxn id="29" idx="6"/>
          <a:endCxn id="178" idx="2"/>
        </xdr:cNvCxnSpPr>
      </xdr:nvCxnSpPr>
      <xdr:spPr>
        <a:xfrm>
          <a:off x="8714642" y="4483344"/>
          <a:ext cx="4173415" cy="41690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296007</xdr:colOff>
      <xdr:row>24</xdr:row>
      <xdr:rowOff>130419</xdr:rowOff>
    </xdr:from>
    <xdr:to>
      <xdr:col>22</xdr:col>
      <xdr:colOff>29308</xdr:colOff>
      <xdr:row>24</xdr:row>
      <xdr:rowOff>159727</xdr:rowOff>
    </xdr:to>
    <xdr:cxnSp macro="">
      <xdr:nvCxnSpPr>
        <xdr:cNvPr id="188" name="Прямая со стрелкой 187">
          <a:extLst>
            <a:ext uri="{FF2B5EF4-FFF2-40B4-BE49-F238E27FC236}">
              <a16:creationId xmlns:a16="http://schemas.microsoft.com/office/drawing/2014/main" id="{1E863AD6-8DF8-436A-9E6D-834E83AA693A}"/>
            </a:ext>
          </a:extLst>
        </xdr:cNvPr>
        <xdr:cNvCxnSpPr>
          <a:stCxn id="178" idx="6"/>
          <a:endCxn id="191" idx="2"/>
        </xdr:cNvCxnSpPr>
      </xdr:nvCxnSpPr>
      <xdr:spPr>
        <a:xfrm>
          <a:off x="13381892" y="4900246"/>
          <a:ext cx="2165839" cy="2930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29308</xdr:colOff>
      <xdr:row>23</xdr:row>
      <xdr:rowOff>102577</xdr:rowOff>
    </xdr:from>
    <xdr:to>
      <xdr:col>22</xdr:col>
      <xdr:colOff>523143</xdr:colOff>
      <xdr:row>26</xdr:row>
      <xdr:rowOff>26377</xdr:rowOff>
    </xdr:to>
    <xdr:sp macro="" textlink="">
      <xdr:nvSpPr>
        <xdr:cNvPr id="191" name="Овал 190">
          <a:extLst>
            <a:ext uri="{FF2B5EF4-FFF2-40B4-BE49-F238E27FC236}">
              <a16:creationId xmlns:a16="http://schemas.microsoft.com/office/drawing/2014/main" id="{855C068A-F3E2-4D31-87AB-3FC790F0467C}"/>
            </a:ext>
          </a:extLst>
        </xdr:cNvPr>
        <xdr:cNvSpPr/>
      </xdr:nvSpPr>
      <xdr:spPr>
        <a:xfrm>
          <a:off x="15547731" y="4681904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23</a:t>
          </a:r>
        </a:p>
      </xdr:txBody>
    </xdr:sp>
    <xdr:clientData/>
  </xdr:twoCellAnchor>
  <xdr:oneCellAnchor>
    <xdr:from>
      <xdr:col>19</xdr:col>
      <xdr:colOff>533401</xdr:colOff>
      <xdr:row>23</xdr:row>
      <xdr:rowOff>79130</xdr:rowOff>
    </xdr:from>
    <xdr:ext cx="483594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5508BD1D-4A21-4064-B018-06CF097E33F9}"/>
            </a:ext>
          </a:extLst>
        </xdr:cNvPr>
        <xdr:cNvSpPr txBox="1"/>
      </xdr:nvSpPr>
      <xdr:spPr>
        <a:xfrm>
          <a:off x="14249401" y="4660655"/>
          <a:ext cx="48359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О =</a:t>
          </a:r>
          <a:r>
            <a:rPr lang="ru-RU" sz="1100" baseline="0"/>
            <a:t> 1</a:t>
          </a:r>
          <a:endParaRPr lang="ru-RU" sz="1100"/>
        </a:p>
      </xdr:txBody>
    </xdr:sp>
    <xdr:clientData/>
  </xdr:oneCellAnchor>
  <xdr:twoCellAnchor>
    <xdr:from>
      <xdr:col>25</xdr:col>
      <xdr:colOff>417634</xdr:colOff>
      <xdr:row>12</xdr:row>
      <xdr:rowOff>131885</xdr:rowOff>
    </xdr:from>
    <xdr:to>
      <xdr:col>26</xdr:col>
      <xdr:colOff>303334</xdr:colOff>
      <xdr:row>15</xdr:row>
      <xdr:rowOff>55685</xdr:rowOff>
    </xdr:to>
    <xdr:sp macro="" textlink="">
      <xdr:nvSpPr>
        <xdr:cNvPr id="194" name="Овал 193">
          <a:extLst>
            <a:ext uri="{FF2B5EF4-FFF2-40B4-BE49-F238E27FC236}">
              <a16:creationId xmlns:a16="http://schemas.microsoft.com/office/drawing/2014/main" id="{65056577-462D-4B9D-931F-7E262E8BBEFF}"/>
            </a:ext>
          </a:extLst>
        </xdr:cNvPr>
        <xdr:cNvSpPr/>
      </xdr:nvSpPr>
      <xdr:spPr>
        <a:xfrm>
          <a:off x="17760461" y="2615712"/>
          <a:ext cx="493835" cy="49530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ru-RU" sz="1100"/>
            <a:t>24</a:t>
          </a:r>
        </a:p>
      </xdr:txBody>
    </xdr:sp>
    <xdr:clientData/>
  </xdr:twoCellAnchor>
  <xdr:twoCellAnchor>
    <xdr:from>
      <xdr:col>22</xdr:col>
      <xdr:colOff>450823</xdr:colOff>
      <xdr:row>14</xdr:row>
      <xdr:rowOff>173650</xdr:rowOff>
    </xdr:from>
    <xdr:to>
      <xdr:col>25</xdr:col>
      <xdr:colOff>489954</xdr:colOff>
      <xdr:row>23</xdr:row>
      <xdr:rowOff>175112</xdr:rowOff>
    </xdr:to>
    <xdr:cxnSp macro="">
      <xdr:nvCxnSpPr>
        <xdr:cNvPr id="195" name="Прямая со стрелкой 194">
          <a:extLst>
            <a:ext uri="{FF2B5EF4-FFF2-40B4-BE49-F238E27FC236}">
              <a16:creationId xmlns:a16="http://schemas.microsoft.com/office/drawing/2014/main" id="{AD0A3E64-B6B9-4610-A310-188722E2C4DA}"/>
            </a:ext>
          </a:extLst>
        </xdr:cNvPr>
        <xdr:cNvCxnSpPr>
          <a:stCxn id="191" idx="7"/>
          <a:endCxn id="194" idx="3"/>
        </xdr:cNvCxnSpPr>
      </xdr:nvCxnSpPr>
      <xdr:spPr>
        <a:xfrm flipV="1">
          <a:off x="15969246" y="3038477"/>
          <a:ext cx="1863535" cy="1715962"/>
        </a:xfrm>
        <a:prstGeom prst="straightConnector1">
          <a:avLst/>
        </a:prstGeom>
        <a:ln>
          <a:solidFill>
            <a:srgbClr val="FF0000"/>
          </a:solidFill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12457</xdr:colOff>
      <xdr:row>3</xdr:row>
      <xdr:rowOff>172916</xdr:rowOff>
    </xdr:from>
    <xdr:to>
      <xdr:col>25</xdr:col>
      <xdr:colOff>489954</xdr:colOff>
      <xdr:row>13</xdr:row>
      <xdr:rowOff>13920</xdr:rowOff>
    </xdr:to>
    <xdr:cxnSp macro="">
      <xdr:nvCxnSpPr>
        <xdr:cNvPr id="199" name="Прямая со стрелкой 198">
          <a:extLst>
            <a:ext uri="{FF2B5EF4-FFF2-40B4-BE49-F238E27FC236}">
              <a16:creationId xmlns:a16="http://schemas.microsoft.com/office/drawing/2014/main" id="{07F02B43-D111-4DD5-A9BF-3575B7FC4D58}"/>
            </a:ext>
          </a:extLst>
        </xdr:cNvPr>
        <xdr:cNvCxnSpPr>
          <a:stCxn id="173" idx="4"/>
          <a:endCxn id="194" idx="1"/>
        </xdr:cNvCxnSpPr>
      </xdr:nvCxnSpPr>
      <xdr:spPr>
        <a:xfrm>
          <a:off x="17355284" y="942243"/>
          <a:ext cx="477497" cy="174600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671A-BD17-4798-9512-2616A444EF4D}">
  <dimension ref="A1:G48"/>
  <sheetViews>
    <sheetView topLeftCell="B1" zoomScaleNormal="100" workbookViewId="0">
      <selection activeCell="L31" sqref="L31"/>
    </sheetView>
  </sheetViews>
  <sheetFormatPr defaultRowHeight="15" x14ac:dyDescent="0.25"/>
  <cols>
    <col min="1" max="1" width="17.5703125" customWidth="1"/>
    <col min="2" max="2" width="15.85546875" customWidth="1"/>
    <col min="3" max="3" width="17.42578125" customWidth="1"/>
    <col min="4" max="4" width="17.7109375" customWidth="1"/>
    <col min="6" max="6" width="10.85546875" customWidth="1"/>
    <col min="7" max="7" width="7.140625" customWidth="1"/>
  </cols>
  <sheetData>
    <row r="1" spans="1:7" ht="30.75" customHeight="1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7" x14ac:dyDescent="0.25">
      <c r="A2" s="2" t="s">
        <v>3</v>
      </c>
      <c r="B2" s="2" t="s">
        <v>7</v>
      </c>
      <c r="C2" s="2" t="s">
        <v>14</v>
      </c>
      <c r="D2" s="2" t="s">
        <v>20</v>
      </c>
    </row>
    <row r="3" spans="1:7" x14ac:dyDescent="0.25">
      <c r="A3" s="2" t="s">
        <v>3</v>
      </c>
      <c r="B3" s="2" t="s">
        <v>8</v>
      </c>
      <c r="C3" s="2" t="s">
        <v>3</v>
      </c>
      <c r="D3" s="2" t="s">
        <v>21</v>
      </c>
    </row>
    <row r="4" spans="1:7" x14ac:dyDescent="0.25">
      <c r="A4" s="2" t="s">
        <v>3</v>
      </c>
      <c r="B4" s="2" t="s">
        <v>9</v>
      </c>
      <c r="C4" s="2" t="s">
        <v>15</v>
      </c>
      <c r="D4" s="2" t="s">
        <v>22</v>
      </c>
    </row>
    <row r="5" spans="1:7" x14ac:dyDescent="0.25">
      <c r="A5" s="2" t="s">
        <v>4</v>
      </c>
      <c r="B5" s="2" t="s">
        <v>10</v>
      </c>
      <c r="C5" s="2" t="s">
        <v>16</v>
      </c>
      <c r="D5" s="2" t="s">
        <v>23</v>
      </c>
    </row>
    <row r="6" spans="1:7" x14ac:dyDescent="0.25">
      <c r="A6" s="2" t="s">
        <v>5</v>
      </c>
      <c r="B6" s="2" t="s">
        <v>11</v>
      </c>
      <c r="C6" s="2" t="s">
        <v>17</v>
      </c>
      <c r="D6" s="2" t="s">
        <v>24</v>
      </c>
    </row>
    <row r="7" spans="1:7" x14ac:dyDescent="0.25">
      <c r="A7" s="2" t="s">
        <v>6</v>
      </c>
      <c r="B7" s="2" t="s">
        <v>12</v>
      </c>
      <c r="C7" s="2" t="s">
        <v>18</v>
      </c>
      <c r="D7" s="2" t="s">
        <v>25</v>
      </c>
    </row>
    <row r="8" spans="1:7" x14ac:dyDescent="0.25">
      <c r="A8" s="2" t="s">
        <v>3</v>
      </c>
      <c r="B8" s="2" t="s">
        <v>13</v>
      </c>
      <c r="C8" s="2" t="s">
        <v>19</v>
      </c>
      <c r="D8" s="2" t="s">
        <v>26</v>
      </c>
    </row>
    <row r="11" spans="1:7" x14ac:dyDescent="0.25">
      <c r="B11" s="6"/>
      <c r="C11" s="6"/>
      <c r="D11" s="6"/>
      <c r="F11" s="3"/>
      <c r="G11" s="3"/>
    </row>
    <row r="12" spans="1:7" x14ac:dyDescent="0.25">
      <c r="B12" s="3"/>
      <c r="C12" s="3"/>
      <c r="D12" s="3"/>
      <c r="F12" s="3"/>
      <c r="G12" s="3"/>
    </row>
    <row r="13" spans="1:7" x14ac:dyDescent="0.25">
      <c r="B13" s="3"/>
      <c r="C13" s="3"/>
      <c r="D13" s="3"/>
      <c r="F13" s="3"/>
      <c r="G13" s="3"/>
    </row>
    <row r="14" spans="1:7" x14ac:dyDescent="0.25">
      <c r="B14" s="3"/>
      <c r="C14" s="3"/>
      <c r="D14" s="3"/>
      <c r="F14" s="3"/>
      <c r="G14" s="3"/>
    </row>
    <row r="15" spans="1:7" x14ac:dyDescent="0.25">
      <c r="B15" s="3"/>
      <c r="C15" s="3"/>
      <c r="D15" s="3"/>
      <c r="F15" s="3"/>
      <c r="G15" s="3"/>
    </row>
    <row r="16" spans="1:7" x14ac:dyDescent="0.25">
      <c r="B16" s="3"/>
      <c r="C16" s="3"/>
      <c r="D16" s="3"/>
      <c r="F16" s="3"/>
      <c r="G16" s="3"/>
    </row>
    <row r="17" spans="2:7" x14ac:dyDescent="0.25">
      <c r="B17" s="3"/>
      <c r="C17" s="3"/>
      <c r="D17" s="3"/>
      <c r="F17" s="3"/>
      <c r="G17" s="3"/>
    </row>
    <row r="18" spans="2:7" x14ac:dyDescent="0.25">
      <c r="B18" s="3"/>
      <c r="C18" s="3"/>
      <c r="D18" s="3"/>
      <c r="F18" s="3"/>
      <c r="G18" s="3"/>
    </row>
    <row r="19" spans="2:7" x14ac:dyDescent="0.25">
      <c r="B19" s="3"/>
      <c r="C19" s="3"/>
      <c r="D19" s="3"/>
      <c r="F19" s="3"/>
      <c r="G19" s="3"/>
    </row>
    <row r="20" spans="2:7" x14ac:dyDescent="0.25">
      <c r="B20" s="3"/>
      <c r="C20" s="3"/>
      <c r="D20" s="3"/>
      <c r="F20" s="3"/>
      <c r="G20" s="3"/>
    </row>
    <row r="21" spans="2:7" x14ac:dyDescent="0.25">
      <c r="B21" s="3"/>
      <c r="C21" s="3"/>
      <c r="D21" s="3"/>
      <c r="F21" s="3"/>
      <c r="G21" s="3"/>
    </row>
    <row r="22" spans="2:7" x14ac:dyDescent="0.25">
      <c r="B22" s="3"/>
      <c r="C22" s="3"/>
      <c r="D22" s="3"/>
      <c r="F22" s="3"/>
      <c r="G22" s="3"/>
    </row>
    <row r="23" spans="2:7" x14ac:dyDescent="0.25">
      <c r="B23" s="3"/>
      <c r="C23" s="3"/>
      <c r="D23" s="3"/>
      <c r="F23" s="3"/>
      <c r="G23" s="3"/>
    </row>
    <row r="24" spans="2:7" x14ac:dyDescent="0.25">
      <c r="B24" s="3"/>
      <c r="C24" s="3"/>
      <c r="D24" s="3"/>
      <c r="F24" s="3"/>
      <c r="G24" s="3"/>
    </row>
    <row r="25" spans="2:7" x14ac:dyDescent="0.25">
      <c r="B25" s="3"/>
      <c r="C25" s="3"/>
      <c r="D25" s="3"/>
      <c r="F25" s="3"/>
      <c r="G25" s="3"/>
    </row>
    <row r="26" spans="2:7" x14ac:dyDescent="0.25">
      <c r="B26" s="3"/>
      <c r="C26" s="3"/>
      <c r="D26" s="3"/>
      <c r="F26" s="3"/>
      <c r="G26" s="3"/>
    </row>
    <row r="27" spans="2:7" x14ac:dyDescent="0.25">
      <c r="B27" s="3"/>
      <c r="C27" s="3"/>
      <c r="D27" s="3"/>
      <c r="F27" s="3"/>
      <c r="G27" s="3"/>
    </row>
    <row r="28" spans="2:7" x14ac:dyDescent="0.25">
      <c r="B28" s="3"/>
      <c r="C28" s="3"/>
      <c r="D28" s="3"/>
      <c r="F28" s="3"/>
      <c r="G28" s="3"/>
    </row>
    <row r="29" spans="2:7" x14ac:dyDescent="0.25">
      <c r="B29" s="3"/>
      <c r="C29" s="3"/>
      <c r="D29" s="3"/>
      <c r="F29" s="3"/>
      <c r="G29" s="3"/>
    </row>
    <row r="30" spans="2:7" x14ac:dyDescent="0.25">
      <c r="B30" s="3"/>
      <c r="C30" s="3"/>
      <c r="D30" s="3"/>
      <c r="F30" s="3"/>
      <c r="G30" s="3"/>
    </row>
    <row r="31" spans="2:7" x14ac:dyDescent="0.25">
      <c r="B31" s="3"/>
      <c r="C31" s="3"/>
      <c r="D31" s="3"/>
      <c r="F31" s="3"/>
      <c r="G31" s="3"/>
    </row>
    <row r="32" spans="2:7" x14ac:dyDescent="0.25">
      <c r="B32" s="3"/>
      <c r="C32" s="3"/>
      <c r="D32" s="3"/>
      <c r="F32" s="3"/>
      <c r="G32" s="3"/>
    </row>
    <row r="33" spans="2:7" x14ac:dyDescent="0.25">
      <c r="B33" s="3"/>
      <c r="C33" s="3"/>
      <c r="D33" s="3"/>
      <c r="F33" s="3"/>
      <c r="G33" s="3"/>
    </row>
    <row r="34" spans="2:7" x14ac:dyDescent="0.25">
      <c r="B34" s="3"/>
      <c r="C34" s="3"/>
      <c r="D34" s="3"/>
      <c r="F34" s="3"/>
      <c r="G34" s="3"/>
    </row>
    <row r="35" spans="2:7" x14ac:dyDescent="0.25">
      <c r="B35" s="3"/>
      <c r="C35" s="3"/>
      <c r="D35" s="3"/>
      <c r="F35" s="3"/>
      <c r="G35" s="3"/>
    </row>
    <row r="36" spans="2:7" x14ac:dyDescent="0.25">
      <c r="B36" s="3"/>
      <c r="C36" s="3"/>
      <c r="D36" s="3"/>
      <c r="F36" s="3"/>
      <c r="G36" s="3"/>
    </row>
    <row r="37" spans="2:7" x14ac:dyDescent="0.25">
      <c r="B37" s="3"/>
      <c r="C37" s="3"/>
      <c r="D37" s="3"/>
      <c r="F37" s="3"/>
      <c r="G37" s="3"/>
    </row>
    <row r="38" spans="2:7" x14ac:dyDescent="0.25">
      <c r="B38" s="3"/>
      <c r="C38" s="3"/>
      <c r="D38" s="3"/>
      <c r="F38" s="3"/>
      <c r="G38" s="3"/>
    </row>
    <row r="39" spans="2:7" x14ac:dyDescent="0.25">
      <c r="B39" s="3"/>
      <c r="C39" s="3"/>
      <c r="D39" s="3"/>
      <c r="F39" s="3"/>
      <c r="G39" s="3"/>
    </row>
    <row r="40" spans="2:7" x14ac:dyDescent="0.25">
      <c r="B40" s="3"/>
      <c r="C40" s="3"/>
      <c r="D40" s="3"/>
      <c r="F40" s="3"/>
      <c r="G40" s="3"/>
    </row>
    <row r="41" spans="2:7" x14ac:dyDescent="0.25">
      <c r="B41" s="3"/>
      <c r="C41" s="3"/>
      <c r="D41" s="3"/>
      <c r="F41" s="3"/>
      <c r="G41" s="3"/>
    </row>
    <row r="42" spans="2:7" x14ac:dyDescent="0.25">
      <c r="B42" s="3"/>
      <c r="C42" s="3"/>
      <c r="D42" s="3"/>
    </row>
    <row r="43" spans="2:7" x14ac:dyDescent="0.25">
      <c r="B43" s="3"/>
      <c r="C43" s="3"/>
      <c r="D43" s="3"/>
    </row>
    <row r="44" spans="2:7" x14ac:dyDescent="0.25">
      <c r="B44" s="3"/>
      <c r="C44" s="3"/>
      <c r="D44" s="3"/>
    </row>
    <row r="45" spans="2:7" x14ac:dyDescent="0.25">
      <c r="B45" s="3"/>
      <c r="C45" s="3"/>
      <c r="D45" s="3"/>
    </row>
    <row r="46" spans="2:7" x14ac:dyDescent="0.25">
      <c r="B46" s="3"/>
      <c r="C46" s="3"/>
      <c r="D46" s="3"/>
    </row>
    <row r="47" spans="2:7" x14ac:dyDescent="0.25">
      <c r="B47" s="3"/>
      <c r="C47" s="3"/>
      <c r="D47" s="3"/>
    </row>
    <row r="48" spans="2:7" x14ac:dyDescent="0.25">
      <c r="B48" s="3"/>
      <c r="C48" s="3"/>
      <c r="D48" s="3"/>
    </row>
  </sheetData>
  <mergeCells count="1">
    <mergeCell ref="B11:D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0AE8-6ED0-4BFE-843D-72B4EE14015A}">
  <dimension ref="A1:G38"/>
  <sheetViews>
    <sheetView workbookViewId="0">
      <selection activeCell="F21" sqref="F21"/>
    </sheetView>
  </sheetViews>
  <sheetFormatPr defaultRowHeight="15" x14ac:dyDescent="0.25"/>
  <cols>
    <col min="2" max="2" width="15.85546875" customWidth="1"/>
    <col min="6" max="6" width="33.28515625" customWidth="1"/>
    <col min="7" max="7" width="23.42578125" customWidth="1"/>
  </cols>
  <sheetData>
    <row r="1" spans="1:7" x14ac:dyDescent="0.25">
      <c r="A1" s="7" t="s">
        <v>27</v>
      </c>
      <c r="B1" s="7"/>
      <c r="C1" s="7"/>
      <c r="F1" s="2" t="s">
        <v>31</v>
      </c>
      <c r="G1" s="2" t="s">
        <v>46</v>
      </c>
    </row>
    <row r="2" spans="1:7" ht="18" x14ac:dyDescent="0.25">
      <c r="A2" s="2" t="s">
        <v>28</v>
      </c>
      <c r="B2" s="2" t="s">
        <v>29</v>
      </c>
      <c r="C2" s="2" t="s">
        <v>30</v>
      </c>
      <c r="F2" s="2" t="s">
        <v>32</v>
      </c>
      <c r="G2" s="2">
        <f>C3+C8+C20+C33+C34+C35+C36</f>
        <v>15</v>
      </c>
    </row>
    <row r="3" spans="1:7" x14ac:dyDescent="0.25">
      <c r="A3" s="2">
        <v>1</v>
      </c>
      <c r="B3" s="2">
        <v>2</v>
      </c>
      <c r="C3" s="2">
        <v>2</v>
      </c>
      <c r="F3" s="2" t="s">
        <v>47</v>
      </c>
      <c r="G3" s="2">
        <f>C3+C9+C21+C23+C27+C30+C31+C32+C34+C35+C36</f>
        <v>20</v>
      </c>
    </row>
    <row r="4" spans="1:7" x14ac:dyDescent="0.25">
      <c r="A4" s="2">
        <v>1</v>
      </c>
      <c r="B4" s="2">
        <v>3</v>
      </c>
      <c r="C4" s="2">
        <v>1</v>
      </c>
      <c r="F4" s="2" t="s">
        <v>33</v>
      </c>
      <c r="G4" s="2">
        <f>C3+C9+C21+C24+C37+C38</f>
        <v>5</v>
      </c>
    </row>
    <row r="5" spans="1:7" x14ac:dyDescent="0.25">
      <c r="A5" s="2">
        <v>1</v>
      </c>
      <c r="B5" s="2">
        <v>4</v>
      </c>
      <c r="C5" s="2">
        <v>3</v>
      </c>
      <c r="F5" s="2" t="s">
        <v>34</v>
      </c>
      <c r="G5" s="2">
        <f>C3+C10+C28+C29+C31+C32+C34+C35+C36</f>
        <v>16</v>
      </c>
    </row>
    <row r="6" spans="1:7" x14ac:dyDescent="0.25">
      <c r="A6" s="2">
        <v>1</v>
      </c>
      <c r="B6" s="2">
        <v>5</v>
      </c>
      <c r="C6" s="2">
        <v>4</v>
      </c>
      <c r="F6" s="2" t="s">
        <v>36</v>
      </c>
      <c r="G6" s="2">
        <f>C4+C11+C21+C24+C37+C38</f>
        <v>4</v>
      </c>
    </row>
    <row r="7" spans="1:7" x14ac:dyDescent="0.25">
      <c r="A7" s="2">
        <v>1</v>
      </c>
      <c r="B7" s="2">
        <v>6</v>
      </c>
      <c r="C7" s="2">
        <v>6</v>
      </c>
      <c r="F7" s="2" t="s">
        <v>37</v>
      </c>
      <c r="G7" s="2">
        <f>C4+C12+C22+C25+C27+C30+C31+C32+C34+C35+C36</f>
        <v>18</v>
      </c>
    </row>
    <row r="8" spans="1:7" x14ac:dyDescent="0.25">
      <c r="A8" s="2">
        <v>2</v>
      </c>
      <c r="B8" s="2">
        <v>7</v>
      </c>
      <c r="C8" s="2">
        <v>0</v>
      </c>
      <c r="F8" s="2" t="s">
        <v>38</v>
      </c>
      <c r="G8" s="2">
        <f>C4+C12+C22+C26+C37+C38</f>
        <v>3</v>
      </c>
    </row>
    <row r="9" spans="1:7" x14ac:dyDescent="0.25">
      <c r="A9" s="2">
        <v>2</v>
      </c>
      <c r="B9" s="2">
        <v>8</v>
      </c>
      <c r="C9" s="2">
        <v>0</v>
      </c>
      <c r="F9" s="4" t="s">
        <v>39</v>
      </c>
      <c r="G9" s="2">
        <f>C4+C13+C28+C29+C31+C32+C34+C35+C36</f>
        <v>15</v>
      </c>
    </row>
    <row r="10" spans="1:7" x14ac:dyDescent="0.25">
      <c r="A10" s="2">
        <v>2</v>
      </c>
      <c r="B10" s="2">
        <v>13</v>
      </c>
      <c r="C10" s="2">
        <v>0</v>
      </c>
      <c r="F10" s="2" t="s">
        <v>35</v>
      </c>
      <c r="G10" s="2">
        <f>C4+C14+C20+C33+C34+C35+C36</f>
        <v>14</v>
      </c>
    </row>
    <row r="11" spans="1:7" x14ac:dyDescent="0.25">
      <c r="A11" s="2">
        <v>3</v>
      </c>
      <c r="B11" s="2">
        <v>8</v>
      </c>
      <c r="C11" s="2">
        <v>0</v>
      </c>
      <c r="F11" s="2" t="s">
        <v>40</v>
      </c>
      <c r="G11" s="2">
        <f>C5+C15+C20+C33+C34+C35+C36</f>
        <v>16</v>
      </c>
    </row>
    <row r="12" spans="1:7" x14ac:dyDescent="0.25">
      <c r="A12" s="2">
        <v>3</v>
      </c>
      <c r="B12" s="2">
        <v>9</v>
      </c>
      <c r="C12" s="2">
        <v>0</v>
      </c>
      <c r="F12" s="2" t="s">
        <v>41</v>
      </c>
      <c r="G12" s="2">
        <f>C5+C16+C22+C25+C27+C30+C31+C32+C34+C35+C36</f>
        <v>20</v>
      </c>
    </row>
    <row r="13" spans="1:7" x14ac:dyDescent="0.25">
      <c r="A13" s="2">
        <v>3</v>
      </c>
      <c r="B13" s="2">
        <v>13</v>
      </c>
      <c r="C13" s="2">
        <v>0</v>
      </c>
      <c r="F13" s="2" t="s">
        <v>42</v>
      </c>
      <c r="G13" s="2">
        <f>C5+C16+C22+C26+C37+C38</f>
        <v>5</v>
      </c>
    </row>
    <row r="14" spans="1:7" x14ac:dyDescent="0.25">
      <c r="A14" s="2">
        <v>3</v>
      </c>
      <c r="B14" s="2">
        <v>7</v>
      </c>
      <c r="C14" s="2">
        <v>0</v>
      </c>
      <c r="F14" s="2" t="s">
        <v>43</v>
      </c>
      <c r="G14" s="2">
        <f>C5+C17+C28+C29+C31+C32+C34+C35+C36</f>
        <v>17</v>
      </c>
    </row>
    <row r="15" spans="1:7" x14ac:dyDescent="0.25">
      <c r="A15" s="2">
        <v>4</v>
      </c>
      <c r="B15" s="2">
        <v>7</v>
      </c>
      <c r="C15" s="2">
        <v>0</v>
      </c>
      <c r="F15" s="2" t="s">
        <v>44</v>
      </c>
      <c r="G15" s="2">
        <f>C6+C18+C28+C29+C31+C32+C34+C35+C36</f>
        <v>18</v>
      </c>
    </row>
    <row r="16" spans="1:7" x14ac:dyDescent="0.25">
      <c r="A16" s="2">
        <v>4</v>
      </c>
      <c r="B16" s="2">
        <v>9</v>
      </c>
      <c r="C16" s="2">
        <v>0</v>
      </c>
      <c r="F16" s="2" t="s">
        <v>45</v>
      </c>
      <c r="G16" s="2">
        <f>C7+C19+C37+C38</f>
        <v>7</v>
      </c>
    </row>
    <row r="17" spans="1:7" x14ac:dyDescent="0.25">
      <c r="A17" s="2">
        <v>4</v>
      </c>
      <c r="B17" s="2">
        <v>13</v>
      </c>
      <c r="C17" s="2">
        <v>0</v>
      </c>
      <c r="F17" s="2" t="s">
        <v>48</v>
      </c>
      <c r="G17" s="2">
        <f>C4+C11+C21+C23+C27+C30+C31+C32+C34+C35+C36</f>
        <v>19</v>
      </c>
    </row>
    <row r="18" spans="1:7" x14ac:dyDescent="0.25">
      <c r="A18" s="2">
        <v>5</v>
      </c>
      <c r="B18" s="2">
        <v>13</v>
      </c>
      <c r="C18" s="2">
        <v>0</v>
      </c>
      <c r="F18" s="2"/>
      <c r="G18" s="2"/>
    </row>
    <row r="19" spans="1:7" x14ac:dyDescent="0.25">
      <c r="A19" s="2">
        <v>6</v>
      </c>
      <c r="B19" s="2">
        <v>22</v>
      </c>
      <c r="C19" s="2">
        <v>0</v>
      </c>
      <c r="F19" s="5" t="s">
        <v>49</v>
      </c>
      <c r="G19" s="5">
        <f>MIN(G2:G17)</f>
        <v>3</v>
      </c>
    </row>
    <row r="20" spans="1:7" x14ac:dyDescent="0.25">
      <c r="A20" s="2">
        <v>7</v>
      </c>
      <c r="B20" s="2">
        <v>18</v>
      </c>
      <c r="C20" s="2">
        <v>4</v>
      </c>
    </row>
    <row r="21" spans="1:7" x14ac:dyDescent="0.25">
      <c r="A21" s="2">
        <v>8</v>
      </c>
      <c r="B21" s="2">
        <v>10</v>
      </c>
      <c r="C21" s="2">
        <v>2</v>
      </c>
    </row>
    <row r="22" spans="1:7" x14ac:dyDescent="0.25">
      <c r="A22" s="2">
        <v>9</v>
      </c>
      <c r="B22" s="2">
        <v>11</v>
      </c>
      <c r="C22" s="2">
        <v>1</v>
      </c>
    </row>
    <row r="23" spans="1:7" x14ac:dyDescent="0.25">
      <c r="A23" s="2">
        <v>10</v>
      </c>
      <c r="B23" s="2">
        <v>12</v>
      </c>
      <c r="C23" s="2">
        <v>0</v>
      </c>
    </row>
    <row r="24" spans="1:7" x14ac:dyDescent="0.25">
      <c r="A24" s="2">
        <v>10</v>
      </c>
      <c r="B24" s="2">
        <v>22</v>
      </c>
      <c r="C24" s="2">
        <v>0</v>
      </c>
    </row>
    <row r="25" spans="1:7" x14ac:dyDescent="0.25">
      <c r="A25" s="2">
        <v>11</v>
      </c>
      <c r="B25" s="2">
        <v>12</v>
      </c>
      <c r="C25" s="2">
        <v>0</v>
      </c>
    </row>
    <row r="26" spans="1:7" x14ac:dyDescent="0.25">
      <c r="A26" s="2">
        <v>11</v>
      </c>
      <c r="B26" s="2">
        <v>22</v>
      </c>
      <c r="C26" s="2">
        <v>0</v>
      </c>
    </row>
    <row r="27" spans="1:7" x14ac:dyDescent="0.25">
      <c r="A27" s="2">
        <v>12</v>
      </c>
      <c r="B27" s="2">
        <v>15</v>
      </c>
      <c r="C27" s="2">
        <v>5</v>
      </c>
    </row>
    <row r="28" spans="1:7" x14ac:dyDescent="0.25">
      <c r="A28" s="2">
        <v>13</v>
      </c>
      <c r="B28" s="2">
        <v>14</v>
      </c>
      <c r="C28" s="2">
        <v>3</v>
      </c>
    </row>
    <row r="29" spans="1:7" x14ac:dyDescent="0.25">
      <c r="A29" s="2">
        <v>14</v>
      </c>
      <c r="B29" s="2">
        <v>16</v>
      </c>
      <c r="C29" s="2">
        <v>0</v>
      </c>
    </row>
    <row r="30" spans="1:7" x14ac:dyDescent="0.25">
      <c r="A30" s="2">
        <v>15</v>
      </c>
      <c r="B30" s="2">
        <v>16</v>
      </c>
      <c r="C30" s="2">
        <v>0</v>
      </c>
    </row>
    <row r="31" spans="1:7" x14ac:dyDescent="0.25">
      <c r="A31" s="2">
        <v>16</v>
      </c>
      <c r="B31" s="2">
        <v>17</v>
      </c>
      <c r="C31" s="2">
        <v>2</v>
      </c>
    </row>
    <row r="32" spans="1:7" x14ac:dyDescent="0.25">
      <c r="A32" s="2">
        <v>17</v>
      </c>
      <c r="B32" s="2">
        <v>19</v>
      </c>
      <c r="C32" s="2">
        <v>0</v>
      </c>
    </row>
    <row r="33" spans="1:3" x14ac:dyDescent="0.25">
      <c r="A33" s="2">
        <v>18</v>
      </c>
      <c r="B33" s="2">
        <v>19</v>
      </c>
      <c r="C33" s="2">
        <v>0</v>
      </c>
    </row>
    <row r="34" spans="1:3" x14ac:dyDescent="0.25">
      <c r="A34" s="2">
        <v>19</v>
      </c>
      <c r="B34" s="2">
        <v>20</v>
      </c>
      <c r="C34" s="2">
        <v>6</v>
      </c>
    </row>
    <row r="35" spans="1:3" x14ac:dyDescent="0.25">
      <c r="A35" s="2">
        <v>20</v>
      </c>
      <c r="B35" s="2">
        <v>21</v>
      </c>
      <c r="C35" s="2">
        <v>3</v>
      </c>
    </row>
    <row r="36" spans="1:3" x14ac:dyDescent="0.25">
      <c r="A36" s="2">
        <v>21</v>
      </c>
      <c r="B36" s="2">
        <v>24</v>
      </c>
      <c r="C36" s="2">
        <v>0</v>
      </c>
    </row>
    <row r="37" spans="1:3" x14ac:dyDescent="0.25">
      <c r="A37" s="2">
        <v>22</v>
      </c>
      <c r="B37" s="2">
        <v>23</v>
      </c>
      <c r="C37" s="2">
        <v>1</v>
      </c>
    </row>
    <row r="38" spans="1:3" x14ac:dyDescent="0.25">
      <c r="A38" s="2">
        <v>23</v>
      </c>
      <c r="B38" s="2">
        <v>24</v>
      </c>
      <c r="C38" s="2">
        <v>0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B432-1207-4B7B-87DC-BE65C3F2DFCE}">
  <dimension ref="A1:I37"/>
  <sheetViews>
    <sheetView tabSelected="1" workbookViewId="0">
      <selection activeCell="F11" sqref="F11"/>
    </sheetView>
  </sheetViews>
  <sheetFormatPr defaultRowHeight="15" x14ac:dyDescent="0.25"/>
  <cols>
    <col min="4" max="4" width="14.140625" customWidth="1"/>
    <col min="5" max="5" width="14" customWidth="1"/>
  </cols>
  <sheetData>
    <row r="1" spans="1:8" ht="18" x14ac:dyDescent="0.25">
      <c r="A1" s="2" t="s">
        <v>28</v>
      </c>
      <c r="B1" s="2" t="s">
        <v>29</v>
      </c>
      <c r="C1" s="2" t="s">
        <v>30</v>
      </c>
      <c r="D1" s="2" t="s">
        <v>50</v>
      </c>
      <c r="E1" s="2" t="s">
        <v>51</v>
      </c>
      <c r="G1" s="8" t="s">
        <v>49</v>
      </c>
    </row>
    <row r="2" spans="1:8" x14ac:dyDescent="0.25">
      <c r="A2" s="2">
        <v>1</v>
      </c>
      <c r="B2" s="2">
        <v>2</v>
      </c>
      <c r="C2" s="2">
        <v>2</v>
      </c>
      <c r="D2" s="15">
        <v>0</v>
      </c>
      <c r="E2" s="10">
        <f>D2+D3+D4+D5+D6</f>
        <v>1</v>
      </c>
      <c r="F2" s="8"/>
      <c r="G2">
        <f>SUMPRODUCT(D2:D37,C2:C37)</f>
        <v>4</v>
      </c>
    </row>
    <row r="3" spans="1:8" x14ac:dyDescent="0.25">
      <c r="A3" s="2">
        <v>1</v>
      </c>
      <c r="B3" s="2">
        <v>3</v>
      </c>
      <c r="C3" s="2">
        <v>1</v>
      </c>
      <c r="D3" s="15">
        <v>1</v>
      </c>
      <c r="E3" s="10">
        <f>D7+D8+D9-D2</f>
        <v>0</v>
      </c>
    </row>
    <row r="4" spans="1:8" x14ac:dyDescent="0.25">
      <c r="A4" s="2">
        <v>1</v>
      </c>
      <c r="B4" s="2">
        <v>4</v>
      </c>
      <c r="C4" s="2">
        <v>3</v>
      </c>
      <c r="D4" s="15">
        <v>0</v>
      </c>
      <c r="E4" s="10">
        <f>D10+D11+D12+D13-D3</f>
        <v>0</v>
      </c>
    </row>
    <row r="5" spans="1:8" x14ac:dyDescent="0.25">
      <c r="A5" s="2">
        <v>1</v>
      </c>
      <c r="B5" s="2">
        <v>5</v>
      </c>
      <c r="C5" s="2">
        <v>4</v>
      </c>
      <c r="D5" s="15">
        <v>0</v>
      </c>
      <c r="E5" s="10">
        <f>D14+D15+D16-D4</f>
        <v>0</v>
      </c>
    </row>
    <row r="6" spans="1:8" x14ac:dyDescent="0.25">
      <c r="A6" s="2">
        <v>1</v>
      </c>
      <c r="B6" s="2">
        <v>6</v>
      </c>
      <c r="C6" s="2">
        <v>6</v>
      </c>
      <c r="D6" s="15">
        <v>0</v>
      </c>
      <c r="E6" s="10">
        <f>D17-D5</f>
        <v>0</v>
      </c>
    </row>
    <row r="7" spans="1:8" x14ac:dyDescent="0.25">
      <c r="A7" s="2">
        <v>2</v>
      </c>
      <c r="B7" s="2">
        <v>7</v>
      </c>
      <c r="C7" s="2">
        <v>0</v>
      </c>
      <c r="D7" s="15">
        <v>0</v>
      </c>
      <c r="E7" s="10">
        <f>D18-D6</f>
        <v>0</v>
      </c>
    </row>
    <row r="8" spans="1:8" x14ac:dyDescent="0.25">
      <c r="A8" s="2">
        <v>2</v>
      </c>
      <c r="B8" s="2">
        <v>8</v>
      </c>
      <c r="C8" s="2">
        <v>0</v>
      </c>
      <c r="D8" s="15">
        <v>0</v>
      </c>
      <c r="E8" s="10">
        <f>D19-D7-D13-D14</f>
        <v>0</v>
      </c>
    </row>
    <row r="9" spans="1:8" x14ac:dyDescent="0.25">
      <c r="A9" s="2">
        <v>2</v>
      </c>
      <c r="B9" s="2">
        <v>13</v>
      </c>
      <c r="C9" s="2">
        <v>0</v>
      </c>
      <c r="D9" s="15">
        <v>0</v>
      </c>
      <c r="E9" s="10">
        <f>D20-D8-D10</f>
        <v>0</v>
      </c>
    </row>
    <row r="10" spans="1:8" x14ac:dyDescent="0.25">
      <c r="A10" s="2">
        <v>3</v>
      </c>
      <c r="B10" s="2">
        <v>8</v>
      </c>
      <c r="C10" s="2">
        <v>0</v>
      </c>
      <c r="D10" s="15">
        <v>1</v>
      </c>
      <c r="E10" s="10">
        <f>D21-D11-D15</f>
        <v>0</v>
      </c>
      <c r="H10" s="9"/>
    </row>
    <row r="11" spans="1:8" x14ac:dyDescent="0.25">
      <c r="A11" s="2">
        <v>3</v>
      </c>
      <c r="B11" s="2">
        <v>9</v>
      </c>
      <c r="C11" s="2">
        <v>0</v>
      </c>
      <c r="D11" s="15">
        <v>0</v>
      </c>
      <c r="E11" s="10">
        <f>D22+D23-D20</f>
        <v>0</v>
      </c>
      <c r="H11" s="9"/>
    </row>
    <row r="12" spans="1:8" x14ac:dyDescent="0.25">
      <c r="A12" s="2">
        <v>3</v>
      </c>
      <c r="B12" s="2">
        <v>13</v>
      </c>
      <c r="C12" s="2">
        <v>0</v>
      </c>
      <c r="D12" s="15">
        <v>0</v>
      </c>
      <c r="E12" s="10">
        <f>D24-D21</f>
        <v>0</v>
      </c>
      <c r="H12" s="9"/>
    </row>
    <row r="13" spans="1:8" x14ac:dyDescent="0.25">
      <c r="A13" s="2">
        <v>3</v>
      </c>
      <c r="B13" s="2">
        <v>7</v>
      </c>
      <c r="C13" s="2">
        <v>0</v>
      </c>
      <c r="D13" s="15">
        <v>0</v>
      </c>
      <c r="E13" s="10">
        <f>D25-D22-D24</f>
        <v>0</v>
      </c>
      <c r="H13" s="9"/>
    </row>
    <row r="14" spans="1:8" x14ac:dyDescent="0.25">
      <c r="A14" s="2">
        <v>4</v>
      </c>
      <c r="B14" s="2">
        <v>7</v>
      </c>
      <c r="C14" s="2">
        <v>0</v>
      </c>
      <c r="D14" s="15">
        <v>0</v>
      </c>
      <c r="E14" s="10">
        <f>D26-D9-D12-D16-D17</f>
        <v>0</v>
      </c>
      <c r="H14" s="9"/>
    </row>
    <row r="15" spans="1:8" x14ac:dyDescent="0.25">
      <c r="A15" s="2">
        <v>4</v>
      </c>
      <c r="B15" s="2">
        <v>9</v>
      </c>
      <c r="C15" s="2">
        <v>0</v>
      </c>
      <c r="D15" s="15">
        <v>0</v>
      </c>
      <c r="E15" s="10">
        <f>D27-D26</f>
        <v>0</v>
      </c>
      <c r="H15" s="9"/>
    </row>
    <row r="16" spans="1:8" x14ac:dyDescent="0.25">
      <c r="A16" s="2">
        <v>4</v>
      </c>
      <c r="B16" s="2">
        <v>13</v>
      </c>
      <c r="C16" s="2">
        <v>0</v>
      </c>
      <c r="D16" s="15">
        <v>0</v>
      </c>
      <c r="E16" s="10">
        <f>D28-D25</f>
        <v>0</v>
      </c>
      <c r="H16" s="9"/>
    </row>
    <row r="17" spans="1:9" x14ac:dyDescent="0.25">
      <c r="A17" s="2">
        <v>5</v>
      </c>
      <c r="B17" s="2">
        <v>13</v>
      </c>
      <c r="C17" s="2">
        <v>0</v>
      </c>
      <c r="D17" s="15">
        <v>0</v>
      </c>
      <c r="E17" s="10">
        <f>D29-D27-D28</f>
        <v>0</v>
      </c>
      <c r="H17" s="9"/>
    </row>
    <row r="18" spans="1:9" x14ac:dyDescent="0.25">
      <c r="A18" s="2">
        <v>6</v>
      </c>
      <c r="B18" s="2">
        <v>22</v>
      </c>
      <c r="C18" s="2">
        <v>0</v>
      </c>
      <c r="D18" s="15">
        <v>0</v>
      </c>
      <c r="E18" s="11">
        <f>D30-D29</f>
        <v>0</v>
      </c>
      <c r="H18" s="9"/>
    </row>
    <row r="19" spans="1:9" x14ac:dyDescent="0.25">
      <c r="A19" s="2">
        <v>7</v>
      </c>
      <c r="B19" s="2">
        <v>18</v>
      </c>
      <c r="C19" s="2">
        <v>4</v>
      </c>
      <c r="D19" s="15">
        <v>0</v>
      </c>
      <c r="E19" s="11">
        <f>D31-D19</f>
        <v>0</v>
      </c>
      <c r="H19" s="9"/>
    </row>
    <row r="20" spans="1:9" x14ac:dyDescent="0.25">
      <c r="A20" s="2">
        <v>8</v>
      </c>
      <c r="B20" s="2">
        <v>10</v>
      </c>
      <c r="C20" s="2">
        <v>2</v>
      </c>
      <c r="D20" s="15">
        <v>1</v>
      </c>
      <c r="E20" s="10">
        <f>D32-D30-D31</f>
        <v>0</v>
      </c>
      <c r="G20" s="12"/>
      <c r="H20" s="13"/>
      <c r="I20" s="12"/>
    </row>
    <row r="21" spans="1:9" x14ac:dyDescent="0.25">
      <c r="A21" s="2">
        <v>9</v>
      </c>
      <c r="B21" s="2">
        <v>11</v>
      </c>
      <c r="C21" s="2">
        <v>1</v>
      </c>
      <c r="D21" s="15">
        <v>0</v>
      </c>
      <c r="E21" s="10">
        <f>D33-D32</f>
        <v>0</v>
      </c>
      <c r="G21" s="12"/>
      <c r="H21" s="13"/>
      <c r="I21" s="12"/>
    </row>
    <row r="22" spans="1:9" x14ac:dyDescent="0.25">
      <c r="A22" s="2">
        <v>10</v>
      </c>
      <c r="B22" s="2">
        <v>12</v>
      </c>
      <c r="C22" s="2">
        <v>0</v>
      </c>
      <c r="D22" s="15">
        <v>0</v>
      </c>
      <c r="E22" s="10">
        <f>D34-D33</f>
        <v>0</v>
      </c>
      <c r="G22" s="12"/>
      <c r="H22" s="14"/>
      <c r="I22" s="12"/>
    </row>
    <row r="23" spans="1:9" x14ac:dyDescent="0.25">
      <c r="A23" s="2">
        <v>10</v>
      </c>
      <c r="B23" s="2">
        <v>22</v>
      </c>
      <c r="C23" s="2">
        <v>0</v>
      </c>
      <c r="D23" s="15">
        <v>1</v>
      </c>
      <c r="E23" s="10">
        <f>D35-D18-D23</f>
        <v>0</v>
      </c>
      <c r="G23" s="12"/>
      <c r="H23" s="14"/>
      <c r="I23" s="12"/>
    </row>
    <row r="24" spans="1:9" x14ac:dyDescent="0.25">
      <c r="A24" s="2">
        <v>11</v>
      </c>
      <c r="B24" s="2">
        <v>12</v>
      </c>
      <c r="C24" s="2">
        <v>0</v>
      </c>
      <c r="D24" s="15">
        <v>0</v>
      </c>
      <c r="E24" s="10">
        <f>D36-D35</f>
        <v>0</v>
      </c>
      <c r="G24" s="12"/>
      <c r="H24" s="13"/>
      <c r="I24" s="12"/>
    </row>
    <row r="25" spans="1:9" x14ac:dyDescent="0.25">
      <c r="A25" s="2">
        <v>11</v>
      </c>
      <c r="B25" s="2">
        <v>22</v>
      </c>
      <c r="C25" s="2">
        <v>0</v>
      </c>
      <c r="D25" s="15">
        <v>0</v>
      </c>
      <c r="E25" s="10">
        <f xml:space="preserve"> -D34 - D36</f>
        <v>-1</v>
      </c>
      <c r="G25" s="12"/>
      <c r="H25" s="13"/>
      <c r="I25" s="12"/>
    </row>
    <row r="26" spans="1:9" x14ac:dyDescent="0.25">
      <c r="A26" s="2">
        <v>12</v>
      </c>
      <c r="B26" s="2">
        <v>15</v>
      </c>
      <c r="C26" s="2">
        <v>5</v>
      </c>
      <c r="D26" s="15">
        <v>0</v>
      </c>
      <c r="E26" s="16"/>
      <c r="G26" s="12"/>
      <c r="H26" s="12"/>
      <c r="I26" s="12"/>
    </row>
    <row r="27" spans="1:9" x14ac:dyDescent="0.25">
      <c r="A27" s="2">
        <v>13</v>
      </c>
      <c r="B27" s="2">
        <v>14</v>
      </c>
      <c r="C27" s="2">
        <v>3</v>
      </c>
      <c r="D27" s="15">
        <v>0</v>
      </c>
      <c r="E27" s="16"/>
    </row>
    <row r="28" spans="1:9" x14ac:dyDescent="0.25">
      <c r="A28" s="2">
        <v>14</v>
      </c>
      <c r="B28" s="2">
        <v>16</v>
      </c>
      <c r="C28" s="2">
        <v>0</v>
      </c>
      <c r="D28" s="15">
        <v>0</v>
      </c>
      <c r="E28" s="17"/>
    </row>
    <row r="29" spans="1:9" x14ac:dyDescent="0.25">
      <c r="A29" s="2">
        <v>15</v>
      </c>
      <c r="B29" s="2">
        <v>16</v>
      </c>
      <c r="C29" s="2">
        <v>0</v>
      </c>
      <c r="D29" s="15">
        <v>0</v>
      </c>
      <c r="E29" s="17"/>
    </row>
    <row r="30" spans="1:9" x14ac:dyDescent="0.25">
      <c r="A30" s="2">
        <v>16</v>
      </c>
      <c r="B30" s="2">
        <v>17</v>
      </c>
      <c r="C30" s="2">
        <v>2</v>
      </c>
      <c r="D30" s="15">
        <v>0</v>
      </c>
      <c r="E30" s="17"/>
    </row>
    <row r="31" spans="1:9" x14ac:dyDescent="0.25">
      <c r="A31" s="2">
        <v>17</v>
      </c>
      <c r="B31" s="2">
        <v>19</v>
      </c>
      <c r="C31" s="2">
        <v>0</v>
      </c>
      <c r="D31" s="15">
        <v>0</v>
      </c>
      <c r="E31" s="17"/>
    </row>
    <row r="32" spans="1:9" x14ac:dyDescent="0.25">
      <c r="A32" s="2">
        <v>18</v>
      </c>
      <c r="B32" s="2">
        <v>19</v>
      </c>
      <c r="C32" s="2">
        <v>0</v>
      </c>
      <c r="D32" s="15">
        <v>0</v>
      </c>
      <c r="E32" s="17"/>
    </row>
    <row r="33" spans="1:5" x14ac:dyDescent="0.25">
      <c r="A33" s="2">
        <v>19</v>
      </c>
      <c r="B33" s="2">
        <v>20</v>
      </c>
      <c r="C33" s="2">
        <v>6</v>
      </c>
      <c r="D33" s="15">
        <v>0</v>
      </c>
      <c r="E33" s="17"/>
    </row>
    <row r="34" spans="1:5" x14ac:dyDescent="0.25">
      <c r="A34" s="2">
        <v>20</v>
      </c>
      <c r="B34" s="2">
        <v>21</v>
      </c>
      <c r="C34" s="2">
        <v>3</v>
      </c>
      <c r="D34" s="15">
        <v>0</v>
      </c>
      <c r="E34" s="17"/>
    </row>
    <row r="35" spans="1:5" x14ac:dyDescent="0.25">
      <c r="A35" s="2">
        <v>21</v>
      </c>
      <c r="B35" s="2">
        <v>24</v>
      </c>
      <c r="C35" s="2">
        <v>0</v>
      </c>
      <c r="D35" s="15">
        <v>1</v>
      </c>
      <c r="E35" s="17"/>
    </row>
    <row r="36" spans="1:5" x14ac:dyDescent="0.25">
      <c r="A36" s="2">
        <v>22</v>
      </c>
      <c r="B36" s="2">
        <v>23</v>
      </c>
      <c r="C36" s="2">
        <v>1</v>
      </c>
      <c r="D36" s="15">
        <v>1</v>
      </c>
      <c r="E36" s="17"/>
    </row>
    <row r="37" spans="1:5" x14ac:dyDescent="0.25">
      <c r="A37" s="2">
        <v>23</v>
      </c>
      <c r="B37" s="2">
        <v>24</v>
      </c>
      <c r="C37" s="2">
        <v>0</v>
      </c>
      <c r="D37" s="15">
        <v>0</v>
      </c>
      <c r="E3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2026-02-20T07:40:45Z</dcterms:created>
  <dcterms:modified xsi:type="dcterms:W3CDTF">2026-02-21T09:16:13Z</dcterms:modified>
</cp:coreProperties>
</file>